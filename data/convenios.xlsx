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6A8E561F-C109-404E-AC5B-80FB49D6E03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venios" sheetId="1" r:id="rId1"/>
  </sheets>
  <definedNames>
    <definedName name="_xlnm._FilterDatabase" localSheetId="0" hidden="1">Convenios!$A$1:$G$48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2" i="1"/>
  <c r="AF12" i="1"/>
  <c r="AD12" i="1"/>
  <c r="AG12" i="1" s="1"/>
  <c r="O12" i="1"/>
  <c r="R12" i="1" s="1"/>
  <c r="AF11" i="1"/>
  <c r="AD11" i="1"/>
  <c r="O11" i="1"/>
  <c r="R11" i="1" s="1"/>
  <c r="AD10" i="1"/>
  <c r="AG10" i="1" s="1"/>
  <c r="AF10" i="1"/>
  <c r="O10" i="1"/>
  <c r="R10" i="1" s="1"/>
  <c r="AG9" i="1"/>
  <c r="AF9" i="1"/>
  <c r="O9" i="1"/>
  <c r="R9" i="1" s="1"/>
  <c r="AG8" i="1"/>
  <c r="AF8" i="1"/>
  <c r="O8" i="1"/>
  <c r="R8" i="1" s="1"/>
  <c r="AF48" i="1"/>
  <c r="AG48" i="1"/>
  <c r="O48" i="1"/>
  <c r="R48" i="1" s="1"/>
  <c r="AG47" i="1"/>
  <c r="AF47" i="1"/>
  <c r="O47" i="1"/>
  <c r="R47" i="1" s="1"/>
  <c r="AG46" i="1"/>
  <c r="AF46" i="1"/>
  <c r="O46" i="1"/>
  <c r="R46" i="1" s="1"/>
  <c r="N45" i="1"/>
  <c r="O45" i="1" s="1"/>
  <c r="R45" i="1" s="1"/>
  <c r="AG45" i="1"/>
  <c r="AF45" i="1"/>
  <c r="N44" i="1"/>
  <c r="O44" i="1" s="1"/>
  <c r="R44" i="1" s="1"/>
  <c r="AG44" i="1"/>
  <c r="AF44" i="1"/>
  <c r="AG43" i="1"/>
  <c r="AF43" i="1"/>
  <c r="O43" i="1"/>
  <c r="R43" i="1" s="1"/>
  <c r="AG42" i="1"/>
  <c r="AF42" i="1"/>
  <c r="O42" i="1"/>
  <c r="R42" i="1" s="1"/>
  <c r="AG41" i="1"/>
  <c r="AF41" i="1"/>
  <c r="O41" i="1"/>
  <c r="R41" i="1" s="1"/>
  <c r="AG40" i="1"/>
  <c r="AF40" i="1"/>
  <c r="O40" i="1"/>
  <c r="R40" i="1" s="1"/>
  <c r="AG39" i="1"/>
  <c r="AF39" i="1"/>
  <c r="O39" i="1"/>
  <c r="R39" i="1" s="1"/>
  <c r="AG11" i="1" l="1"/>
  <c r="AG38" i="1"/>
  <c r="AF38" i="1"/>
  <c r="O38" i="1"/>
  <c r="R38" i="1" s="1"/>
  <c r="AG37" i="1" l="1"/>
  <c r="AF37" i="1"/>
  <c r="O37" i="1"/>
  <c r="R37" i="1" s="1"/>
  <c r="AG36" i="1"/>
  <c r="AF36" i="1"/>
  <c r="O36" i="1"/>
  <c r="R36" i="1" s="1"/>
  <c r="AG35" i="1"/>
  <c r="AF35" i="1"/>
  <c r="O35" i="1"/>
  <c r="R35" i="1" s="1"/>
  <c r="AG34" i="1" l="1"/>
  <c r="AF34" i="1"/>
  <c r="O34" i="1"/>
  <c r="R34" i="1" s="1"/>
  <c r="AG33" i="1" l="1"/>
  <c r="AF33" i="1"/>
  <c r="O33" i="1"/>
  <c r="R33" i="1" s="1"/>
  <c r="AG32" i="1"/>
  <c r="AF32" i="1"/>
  <c r="O32" i="1"/>
  <c r="R32" i="1" s="1"/>
  <c r="AG31" i="1"/>
  <c r="AF31" i="1"/>
  <c r="O31" i="1"/>
  <c r="R31" i="1" s="1"/>
  <c r="AG30" i="1"/>
  <c r="AF30" i="1"/>
  <c r="O30" i="1"/>
  <c r="R30" i="1" s="1"/>
  <c r="AD29" i="1"/>
  <c r="AG29" i="1" s="1"/>
  <c r="N29" i="1"/>
  <c r="M29" i="1"/>
  <c r="AF29" i="1"/>
  <c r="AG28" i="1"/>
  <c r="AF28" i="1"/>
  <c r="O28" i="1"/>
  <c r="R28" i="1" s="1"/>
  <c r="AG27" i="1"/>
  <c r="AF27" i="1"/>
  <c r="O27" i="1"/>
  <c r="R27" i="1" s="1"/>
  <c r="AG26" i="1"/>
  <c r="AF26" i="1"/>
  <c r="O26" i="1"/>
  <c r="R26" i="1" s="1"/>
  <c r="AG25" i="1"/>
  <c r="AF25" i="1"/>
  <c r="O25" i="1"/>
  <c r="R25" i="1" s="1"/>
  <c r="O24" i="1"/>
  <c r="R24" i="1" s="1"/>
  <c r="AF24" i="1"/>
  <c r="AG24" i="1"/>
  <c r="O23" i="1"/>
  <c r="R23" i="1" s="1"/>
  <c r="AF23" i="1"/>
  <c r="AG23" i="1"/>
  <c r="O22" i="1"/>
  <c r="R22" i="1" s="1"/>
  <c r="AF22" i="1"/>
  <c r="AG22" i="1"/>
  <c r="O21" i="1"/>
  <c r="R21" i="1" s="1"/>
  <c r="AF21" i="1"/>
  <c r="AG21" i="1"/>
  <c r="O20" i="1"/>
  <c r="R20" i="1" s="1"/>
  <c r="AF20" i="1"/>
  <c r="AG20" i="1"/>
  <c r="O19" i="1"/>
  <c r="R19" i="1" s="1"/>
  <c r="AF19" i="1"/>
  <c r="AG19" i="1"/>
  <c r="O18" i="1"/>
  <c r="R18" i="1" s="1"/>
  <c r="AF18" i="1"/>
  <c r="AG18" i="1"/>
  <c r="AF17" i="1"/>
  <c r="AG17" i="1"/>
  <c r="O17" i="1"/>
  <c r="R17" i="1" s="1"/>
  <c r="AF16" i="1"/>
  <c r="AG16" i="1"/>
  <c r="O16" i="1"/>
  <c r="R16" i="1" s="1"/>
  <c r="AF4" i="1"/>
  <c r="AG4" i="1"/>
  <c r="AF3" i="1"/>
  <c r="AG3" i="1"/>
  <c r="AG2" i="1"/>
  <c r="AF15" i="1"/>
  <c r="AG15" i="1"/>
  <c r="O15" i="1"/>
  <c r="R15" i="1" s="1"/>
  <c r="AF14" i="1"/>
  <c r="AG14" i="1"/>
  <c r="O14" i="1"/>
  <c r="R14" i="1" s="1"/>
  <c r="AG13" i="1"/>
  <c r="AF13" i="1"/>
  <c r="O13" i="1"/>
  <c r="R13" i="1" s="1"/>
  <c r="AF7" i="1"/>
  <c r="AG7" i="1"/>
  <c r="O7" i="1"/>
  <c r="R7" i="1" s="1"/>
  <c r="AF6" i="1"/>
  <c r="AG6" i="1"/>
  <c r="O6" i="1"/>
  <c r="R6" i="1" s="1"/>
  <c r="AG5" i="1"/>
  <c r="AF2" i="1"/>
  <c r="AF5" i="1"/>
  <c r="O5" i="1"/>
  <c r="R5" i="1" s="1"/>
  <c r="O4" i="1"/>
  <c r="R4" i="1" s="1"/>
  <c r="O29" i="1" l="1"/>
  <c r="R29" i="1" s="1"/>
  <c r="O3" i="1" l="1"/>
  <c r="R3" i="1" s="1"/>
  <c r="O2" i="1"/>
  <c r="R2" i="1" s="1"/>
</calcChain>
</file>

<file path=xl/sharedStrings.xml><?xml version="1.0" encoding="utf-8"?>
<sst xmlns="http://schemas.openxmlformats.org/spreadsheetml/2006/main" count="572" uniqueCount="228">
  <si>
    <t>VIGENCIA</t>
  </si>
  <si>
    <t>SUPERVISOR</t>
  </si>
  <si>
    <t>INDICADOR</t>
  </si>
  <si>
    <t>CLASIFICACIÓN</t>
  </si>
  <si>
    <t>CONVENIO</t>
  </si>
  <si>
    <t>MUNICIPIO</t>
  </si>
  <si>
    <t>SUBREGION</t>
  </si>
  <si>
    <t>OBJETO</t>
  </si>
  <si>
    <t>NOMBRE VIAS PRIORIZADAS</t>
  </si>
  <si>
    <t>ALCANCE (M)</t>
  </si>
  <si>
    <t>ALCANCE (M2)</t>
  </si>
  <si>
    <t>APORTE DEPARTAMENTO</t>
  </si>
  <si>
    <t>APORTE MUNICIPIO</t>
  </si>
  <si>
    <t>VALOR TOTAL</t>
  </si>
  <si>
    <t>ADICIONES RECURSOS DEPARTAMENTO</t>
  </si>
  <si>
    <t>ADICIONES RECURSOS MUNICIPIO</t>
  </si>
  <si>
    <t>VALOR TOTAL CON ADICIONES</t>
  </si>
  <si>
    <t>ESTADO CONVENIO</t>
  </si>
  <si>
    <t>ESTADO OBRA</t>
  </si>
  <si>
    <t>FECHA DE SUSCRIPCIÓN</t>
  </si>
  <si>
    <t>FECHA DE ACTA DE INICIO</t>
  </si>
  <si>
    <t>FECHA DE TERMINACIÓN</t>
  </si>
  <si>
    <t>PRÓRROGA (MESES)</t>
  </si>
  <si>
    <t>SUSPENSIÓN(MESES)</t>
  </si>
  <si>
    <t>NUEVA FECHA DE TERMINACIÓN</t>
  </si>
  <si>
    <t>DIAS RESTANTES</t>
  </si>
  <si>
    <t>LONGITUD EJECUTADA</t>
  </si>
  <si>
    <t>AREA EJECUTADA (M2)</t>
  </si>
  <si>
    <t>VALOR TOTAL DESEMBOLSADO</t>
  </si>
  <si>
    <t>VALOR TOTAL AUTORIZADO DEPARTAMENTO</t>
  </si>
  <si>
    <t>% EJECUCIÓN FÍSICA</t>
  </si>
  <si>
    <t>% EJECUCIÓN FINANCIERA (RECURSOS DEPARTAMENTO)</t>
  </si>
  <si>
    <t>OBSERVACIONES</t>
  </si>
  <si>
    <t>ESTADO LIQUIDACION</t>
  </si>
  <si>
    <t>MARGARITA ROSA LOPERA DUQUE</t>
  </si>
  <si>
    <t>RVT</t>
  </si>
  <si>
    <t>MONTEBELLO</t>
  </si>
  <si>
    <t>SUROESTE</t>
  </si>
  <si>
    <t>EL DEPARTAMENTO DE ANTIOQUIA COFINANCIA AL MUNICIPIO DE MONTEBELLO CON RECURSOS ECONOMICOS PARA QUE ESTE LLEVE A CABO LA PAVIMENTACION DE VIAS TERCIARIAS.</t>
  </si>
  <si>
    <t>SABALETAS</t>
  </si>
  <si>
    <t>LIQUIDADO</t>
  </si>
  <si>
    <t>15/11/2023 LIQUIDADO UNILATERAL REINTEGRO TOTAL DE RECURSOS
12/02/2024 se envio primer cobro persuasivo
07/03/2024 se envio segundo cobro persuaviso 
17/12/2024 envio hacienda para coactivo, aceptado 18/02/2025
  ACTA DE CIERRE 17/02/2025</t>
  </si>
  <si>
    <t>OK</t>
  </si>
  <si>
    <t>El Gavilan - El Carmelo- Sabanitas; Montebello-El Socorro-El Gavilan-ElChurimo-Campo Alegre- Vereda La Merced</t>
  </si>
  <si>
    <t>15/11/2023: LIQUIDADO UNILATERAL REINTEGRO TOTAL DE RECURSOS
17/12/2024 envio hacienda para coactivo, aceptado 18/02/2025 
  ACTA DE CIERRE 17/02/2025</t>
  </si>
  <si>
    <t>TAMESIS</t>
  </si>
  <si>
    <t>EL DEPARTAMENTO DE ANTIOQUIA COFINANCIA AL MUNICIPIO DE TAMESIS CON RECURSOS ECONOMICOS PARA QUE ESTE LLEVE A CABO LA PAVIMENTACION DE VIAS TERCIARIAS</t>
  </si>
  <si>
    <t>Otra Banda - La Matilde,El Hacha - La Alacena, El Encanto - San Isidro, El Encanto (Piamonte) - El Rayo, Santa Teresa-La Juventud</t>
  </si>
  <si>
    <t xml:space="preserve">15/11/2023: LIQUIDADO UNILATERAL, REINTEGRO TOTAL DE RECURSOS
El municipio envió en el mes de diciembre de 2023 la documentación al equipo de liquidaciones para su revisión y asi poder demostrar una posible ejecución del 100% y a la fecha no se ha dado respuesta al recurso de reposición
</t>
  </si>
  <si>
    <t>FINDETER</t>
  </si>
  <si>
    <t>VENECIA</t>
  </si>
  <si>
    <t>AUNAR ESFUERZOS ENTRE EL DEPARTAMENTO DE ANTIOQUIA Y EL MUNICIPIO DE VENECIA, PARA LA EJECUCIÓN DE LAS ACTIVIDADES DE MEJORAMIENTO DE VÍAS TERCIARIAS UBICADAS EN EL MUNICIPIO ASOCIADO.</t>
  </si>
  <si>
    <t>Vías terciarias veredas el cerro, el rincón</t>
  </si>
  <si>
    <t xml:space="preserve"> TERMINADO 100%
PROPUESTA BILATERAL PENDIENTES 13/03/2024
LIQUIDADO UNILATERAL 22/03/2024
16/04/2024/2024 presenta Recurso de reposición el mpio
16/05/2025 envía mas documentación por correo  el mpio
30/10/2025 se envío resp al recurso revisada y con un cuadro de analisis a la abogada de asuntos legales</t>
  </si>
  <si>
    <t>RVU</t>
  </si>
  <si>
    <t>CARAMANTA</t>
  </si>
  <si>
    <t>AUNAR ESFUERZOS ENTRE EL DEPARTAMENTO DE ANTIOQUIA Y EL MUNICIPIO DE CARAMANTA, PARA LA EJECUCIÓN DE LAS ACTVIDADES DE MEJORAMIENTO DE VÍAS URBANAS EN EL MUNICIPIO ASOCIADO.</t>
  </si>
  <si>
    <t> 1.Calle Nueva: CRA 29 ENTRE CLL 26 Y 25ª, CLL 25A ENTRE CRA 29 Y 28, CRA 28A ENTRE CLL 25A 26 m(324,98 m)</t>
  </si>
  <si>
    <t xml:space="preserve">TERMINADO 100%
LIQUIDADO UNILATERAL,  REINTEGRO RECURSOS POR $393.551
28/08/2024 ACTA DE CIERRE MONTADA EN MESA DE AYUDA </t>
  </si>
  <si>
    <t>JERICO</t>
  </si>
  <si>
    <t>AUNAR ESFUERZOS ENTRE EL DEPARTAMENTO DE ANTIOQUIA Y EL MUNICIPIO DE JERICO PARA EL MEJORAMIENTO DE VÍAS TERCIARIAS, UBICADAS EN EL MUNICIPIO ASOCIADO</t>
  </si>
  <si>
    <t> Vía Jericó - Palocabildo.</t>
  </si>
  <si>
    <t>17/12/2024 liquidado con  ACTA DE CIERRE</t>
  </si>
  <si>
    <t>RVS</t>
  </si>
  <si>
    <t>MANTENIMIENTO MANUAL</t>
  </si>
  <si>
    <t xml:space="preserve">EL DEPARTAMENTO DE ANTIOQUIA Y EL MUNICIPIO DE VENECIA, COFINANCIAN LA EJECUCIÓN DE LAS ACTIVIDADES MANTENIMIENTO MANUAL DE LAS VÍAS DEPARTAMENTALES Y MUNICIPALES UBICADAS EN EL MUNICIPIO ASOCIADO. </t>
  </si>
  <si>
    <t>Vía Venecia - Bolombolo
Vía Venecia - Remolinos</t>
  </si>
  <si>
    <t>ACTA DE CIERRE 06/07/2023</t>
  </si>
  <si>
    <t xml:space="preserve">EL DEPARTAMENTO DE ANTIOQUIA Y EL MUNICIPIO DE MONTEBELLO, COFINANCIAN LA EJECUCIÓN DE LAS ACTIVIDADES MANTENIMIENTO MANUAL DE LAS VÍAS DEPARTAMENTALES Y MUNICIPALES UBICADAS EN EL MUNICIPIO ASOCIADO. </t>
  </si>
  <si>
    <t>Vía Versalles - Montebello
Vía Sabaletas Sabanitas- Piedra Galana-La Quiebra
Vía El Olival
Vía El Gavilan -El Carmelo</t>
  </si>
  <si>
    <t>LIQUIDADO
ACTA DE CIERRE 06/07/2023</t>
  </si>
  <si>
    <t>PROVINCIA CARTAMA</t>
  </si>
  <si>
    <t xml:space="preserve">EL DEPARTAMENTO DE ANTIOQUIA Y LA PROVINCIA CARTAMA, COFINANCIAN LA EJECUCIÓN DE LAS ACTIVIDADES MANTENIMIENTO MANUAL DE LAS VÍAS DEPARTAMENTALES Y MUNICIPALES UBICADAS EN LOS MUNICIPIOS ASOCIADOS. </t>
  </si>
  <si>
    <t>Vías provincia cartama</t>
  </si>
  <si>
    <t>06/23/2023 LIQUIDADO UNILATERALMENTE
El municipio hizo recurso de reposición
17/12/2024 pendiente respuesta recurso de reposición por asuntos legales</t>
  </si>
  <si>
    <t>TITIRIBI</t>
  </si>
  <si>
    <t xml:space="preserve">AUNAR ESFUERZOS ENTRE EL DEPARTAMENTO DE ANTIOQUIA Y EL MUNICIPIO DE TITIRIBÍ, PARA LA EJECUCIÓN DE LAS ACTIVIDADES DE MANTENIMIENTO MANUAL DE LAS VÍAS DEPARTAMENTALES Y MUNICIPALES UBICADAS EN EL MUNICIPIO ASOCIADO. </t>
  </si>
  <si>
    <t>Vía Paraje los Alpes - Vereda la meseta
Vía Albania - Titiribí
Vía Vereda Volcan - Vereda pueblito de los bolivar</t>
  </si>
  <si>
    <t>AUNAR ESFUERZOS ENTRE EL DEPARTAMENTO DE ANTIOQUIA Y LA PROVINCIA DE CARTAMA, PARA LA EJECUCIÓN DE LAS ACTIVIDADES DE MANTENIMIENTO MANUAL DE LAS VÍAS DEPARTAMENTALES Y MUNICIPALES UBICADAS EN LOS MUNICIPIOS ASOCIADOS.
CARAMANTA,FREDONIA,JERICÓ
LA PINTADA, MONTEBELLO 39,7
PUEBLORRICO, SANTA BÁRBARA
TÁMESIS, TARSO, VALPARAÍSO
VENECIA</t>
  </si>
  <si>
    <t>TERMINADO 100%
 LIQUIDACIÓN UNILATERAL
 pendiente respuesta recurso de reposición por asuntos legales, se envía revisado y firmado el recurso el 14/10/2025 a la abogada
Se envía notificación personal el 21/11/2025 resolviendo recurso de reposición</t>
  </si>
  <si>
    <t>SANTA BARBARA</t>
  </si>
  <si>
    <t>AUNAR ESFUERZOS ENTRE EL DEPARTAMENTO DE ANTIOQUIA Y EL MUNICIPIO DE SANTA BÁRBARA, PARA LA EJECUCIÓN DE LAS ACTIVIDADES DE MEJORAMIENTO DE VÍAS RURALES UBICADAS EN EL MUNICIPIO ASOCIADO</t>
  </si>
  <si>
    <t>Vía Terciaria Damasco</t>
  </si>
  <si>
    <t>el 31/10/2022 Se prorroga por 3 meses hasta el 29 de enero 2023
12/02/2024 Pendiente cancelación de cuenta para poder liquidar, desembolsado 100%
29/09/2025: Liquidado bilateralmente con pendientes 29/07/2025
primer cobro persusivo revisado el 29/09/2025
Segundo cobro persuasivo 30/10/2025
07/11/2205 el municipio pasa el reintegro de los recursos.
Pendiente paz y salvo del departamento
Acta cierre expediente 23/12/2025</t>
  </si>
  <si>
    <t>CONVOCATORIA  3</t>
  </si>
  <si>
    <t>AUNAR ESFUERZOS ENTRE EL DEPARTAMENTO DE ANTIOQUIA Y EL MUNICIPIO DE VENECIA, PARA LA EJECUCIÓN DE LAS ACTIVIDADES DE MEJORAMIENTO DE VÍAS RURALES UBICADAS EN EL MUNICIPIO ASOCIADO, VIABILIZADAS EN LA CONVOCATORIA 3.O</t>
  </si>
  <si>
    <t>veredas El Vergel-Miraflores-La Mina del Municipio de Venecia Antioquia.</t>
  </si>
  <si>
    <t>el 23/08/2023 se realizó reintegro total de recursos del IDEA
LIQUIDADO BILATERAL CON PENDIENTES 12/12/2023 falta por reintegrar la tasa pro deportes por valor de $13.718.969 para poder liquidar
Primer cobro persuasivo 09/10/2025
04/12/2025 se envió revisado el segundo cobro al abogado para firma de directora</t>
  </si>
  <si>
    <t>TARSO</t>
  </si>
  <si>
    <t>AUNAR ESFUERZOS ENTRE EL DEPARTAMENTO DE ANTIOQUIA Y EL MUNICIPIO DE TARSO, PARA LA EJECUCIÓN DE LAS ACTIVIDADES DE MEJORAMIENTO DE VÍAS URBANAS UBICADAS EN EL MUNICIPIO ASOCIADO.</t>
  </si>
  <si>
    <t>Carrera 20 entre Calles 20 y 21.
- Calle 22 entre carrera 19 y 20.
- Calle 21 entre carreras 18 y 19.
- Carrera 19 entre calles 20 y 21.
- Carrera 19 entre calles 19 y 20.
- Carrera 19 entre calles 18 y 19.
- Calle 17 entre Carreras 19 y 20.
- Carrera 20 entre calles 16 y 17 ( la Yee)
- Calle 18 entre Carreras 20 y 21.
- Carrera 24 A entre Calle 18 A y Calle 18.
- Carrera 24 B entre Calle 18 A y Calle 19.
- Carrera 24 C entre Calle 18 A y Calle 20.
- Calle 20 entre carreras 19 y carrera 20.</t>
  </si>
  <si>
    <t>POR LIQUIDAR</t>
  </si>
  <si>
    <t>22/8/2023 se Prorroga por 4 meses hasta 27/12/23,
18/02/2025 terminaron al 85% obra, por liquidar
Solicitud de documentos para liquidar 26/02/2025
Se realizó visita en mayo y julio de 2025 para liquidar ya que se encontraron unas placas desgastadas para ser descontads en la liquidación</t>
  </si>
  <si>
    <t>MATERIALES</t>
  </si>
  <si>
    <t xml:space="preserve"> 21AS111B76 </t>
  </si>
  <si>
    <t>APOYAR AL MUNICIPIO DE SANTA BARBARA, CON EL SUMINISTRO DE MATERIALES POR PARTE DEL DEPARTAMENTO DE ANTIOQUIA PARA LLEVAR A CABO EL MEJORAMIENTO DE VIAS URBANAS</t>
  </si>
  <si>
    <t>CARRERA 50 SANTANDER ENTRE GALERIA Y PARQUE,  (SOBRE EL PARQUE, EN CAFETEROS, EN CUATRO ESQUINAS)</t>
  </si>
  <si>
    <t>17/12/2024 Liquidado, se reintegro recurso por mal estado de la vía 
Constancia de cumplimiento 09/09/2025
03/10/2025 ACTA DE CIERRE</t>
  </si>
  <si>
    <t xml:space="preserve"> 21AS111B54</t>
  </si>
  <si>
    <t xml:space="preserve">APOYAR AL MUNICIPIO DE JERICÓ, CON EL SUMINISTRO DE MATERIALES POR PARTE DEL DEPARTAMENTO DE ANTIOQUIA PARA LLEVAR A CABO EL MEJORAMIENTO DE VIAS TERCIARIAS. </t>
  </si>
  <si>
    <t>Ramal a Palocabildo</t>
  </si>
  <si>
    <t xml:space="preserve">TERMINADO 100%
LIQUIDADO BILATERAL
ACTA DE CIERRE 18/02/2025
</t>
  </si>
  <si>
    <t xml:space="preserve"> 21AS111B57</t>
  </si>
  <si>
    <t xml:space="preserve">APOYAR AL MUNICIPIO DE TÁMESIS, CON EL SUMINISTRO DE MATERIALES POR PARTE DEL DEPARTAMENTO DE ANTIOQUIA PARA LLEVAR A CABO EL MEJORAMIENTO DE VIAS TERCIARIAS. </t>
  </si>
  <si>
    <t xml:space="preserve">Santa Teresa - La Juventud 
</t>
  </si>
  <si>
    <t xml:space="preserve"> TERMINADO 100%
12/12/2024 LIQUIDADO BILATERAL CON PENDIENTES 
Reintegro recursos 11/09/2025
Se envía paz y salvo al municipio 07/10/2025
ACTA DE CIERRE 22/10/2025</t>
  </si>
  <si>
    <t xml:space="preserve"> 21AS111B77</t>
  </si>
  <si>
    <t>APOYAR AL MUNICIPIO DE JERICÓ, CON EL SUMINISTRO DE MATERIALES POR PARTE DEL DEPARTAMENTO DE ANTIOQUIA PARA LLEVAR A CABO EL MEJORAMIENTO DE VIAS URBANAS</t>
  </si>
  <si>
    <t xml:space="preserve">Vias urbanas
</t>
  </si>
  <si>
    <t>TERMINADO 100%
20/11/2024 LIQUIDADO
ACTA DE CIERRE 18/02/2025</t>
  </si>
  <si>
    <t xml:space="preserve"> 21AS111B78</t>
  </si>
  <si>
    <t xml:space="preserve">APOYAR AL MUNICIPIO DE MONTEBELLO, CON EL SUMINISTRO DE MATERIALES POR PARTE DEL DEPARTAMENTO DE ANTIOQUIA PARA LLEVAR A CABO EL MEJORAMIENTO DE VIAS TERCIARIAS. </t>
  </si>
  <si>
    <t xml:space="preserve">EL SOCORRO-MONTEBELLO
EL CARMELO -SABANITAS
</t>
  </si>
  <si>
    <t xml:space="preserve">
MUNICIPIO EJECUTÓ SOLO 2 KM DE LOS 3 PROGRAMADO, SOLO LE APROBARON MATERIALES PARA ESOS 2KM, 
23/12/2024  liquidación unilateral de la cual se encontraron 1,658 metros en buen estado, por lo tanto deben reintrgrar los recursos del material no ejecutados ó en mal estado (342m)
16/01/2025 el municipio presentó recurso de reposición al cual no se le ha dado respuesta por ASUNTOS LEGALES</t>
  </si>
  <si>
    <t xml:space="preserve"> 21AS111B84</t>
  </si>
  <si>
    <t>PUEBLORRICO</t>
  </si>
  <si>
    <t>APOYAR AL MUNICIPIO DE PUEBLORRICO, CON EL SUMINISTRO DE MATERIALES POR PARTE DEL DEPARTAMENTO DE ANTIOQUIA PARA LLEVAR A CABO EL MEJORAMIENTO DE VIAS URBANAS</t>
  </si>
  <si>
    <t xml:space="preserve">Vías urbana (Aljibe)
Vías urbana (Centro Vida)
</t>
  </si>
  <si>
    <t xml:space="preserve"> TERMINADO 100%
12/06/2024 LIQUIDADO 
04/09/2024 ACTA DE CIERRE de expediente en mesa de ayuda </t>
  </si>
  <si>
    <t xml:space="preserve"> 21AS111B85</t>
  </si>
  <si>
    <t>LA PINTADA</t>
  </si>
  <si>
    <t>APOYAR AL MUNICIPIO DE LA PINTADA, CON EL SUMINISTRO DE MATERIALES POR PARTE DEL DEPARTAMENTO DE ANTIOQUIA PARA LLEVAR A CABO EL MEJORAMIENTO DE VIAS URBANAS</t>
  </si>
  <si>
    <t xml:space="preserve">Calle Central: Inicia en la Avenida 30 (Vía Nancional), va por la calle 35, luego pasa a ser la calle 34 y termina en el punto de encuentro con la calle 33.
Pueblo Nuevo - Vía de la emisora (Cra 33): Inicia en la Calle 33 y va hasta la Avenida 30 (Vía Nacional.
Pueblo Nuevo - Urbanización Comfenaldo (Calle 36): Inicia en la avenida 30 (Vía Nacional) y va hasta la carrera 32.
Pueblo Nuevo parte alta - Vía Los Piedrahita: Inicia en la Carrera 32 y va hasta la Avenida 30 (Vía Nacional).
Pueblo Nuevo - Vía principal Plazoleta Santa Cecilia (Calle 35) Inicia desde la avenida 30 (Vía Nacional) y va hasta la carrera 33
</t>
  </si>
  <si>
    <t>4600012375 </t>
  </si>
  <si>
    <t>AUNAR ESFUERZOS ENTRE EL DEPARTAMENTO DE ANTIOQUIA Y EL MUNICIPIO DE PUEBLORRICO, PARA LA EJECUCIÓN DE LAS ACTIVIDADES DE MEJORAMIENTO DE VÍAS RURALES UBICADAS EN EL MUNICIPIO ASOCIADO.</t>
  </si>
  <si>
    <t>Veredas Barcino, Morrón, Sevilla, Sinai, en el municipio de Pueblorrico, Antioquia</t>
  </si>
  <si>
    <t xml:space="preserve"> reintegraron $100.837.262 por menor ejecución
ejecutaron 1351 metros
el 09/09/2025 se envió constancia de cumplimiento,  ACTA DE CIERRE 24/09/2025</t>
  </si>
  <si>
    <t>AUNAR ESFUERZOS ENTRE EL DEPARTAMENTO DE ANTIOQUIA Y EL MUNICIPIO DE TÁMESIS, PARA LA EJECUCIÓN DE LAS ACTIVIDADES DE MEJORAMIENTO DE VÍAS URBANAS UBICADAS EN EL MUNICIPIO ASOCIADO.</t>
  </si>
  <si>
    <t>zona urbana, sobre la calle 11 entre carreras 9 y 12, calle 10 entre carreras 11 y carrera 9, calle 11 entre carreras 9 y 11 y la carrera 10 entre calles 11 y 13 correpondiente a la via que dirige desde el parque principal hasta la esquina del zacatín</t>
  </si>
  <si>
    <t>SUSPENDIDO</t>
  </si>
  <si>
    <t xml:space="preserve">Novena ampliación a la suspensión N°1 
SUSPENDIDO hasta abril de 2026
Depende del plan maestro de acueducto y alcantarillado, en octubre de 2025 aprobo el ministerio los ajustes solicitados a diseños, pendiente de nuevo proceso de contratación con ss.pp para dar inicio y poder comenzar con el convenio de pavimentación </t>
  </si>
  <si>
    <t>AUNAR ESFUERZOS ENTRE EL DEPARTAMENTO DE ANTIOQUIA Y EL MUNICIPIO DE LA PINTADA, PARA LA EJECUCIÓN DE LAS ACTIVIDADES DE MEJORAMIENTO DE VÍAS URBANAS UBICADAS EN EL MUNICIPIO ASOCIADO.</t>
  </si>
  <si>
    <t>Casco Urbano</t>
  </si>
  <si>
    <t>TERMINADO 100%
27/03/2025 se envio  liquidación unilateral 
13/06/2025 primer cobro persuasivo
29/08/2025 Segundo cobro persuasivo
26/11/2025 El mpio envía documentación de los pagos a liquidaciones para que le hagan paz y salvo</t>
  </si>
  <si>
    <t xml:space="preserve"> 22AS111B496</t>
  </si>
  <si>
    <t>FREDONIA</t>
  </si>
  <si>
    <t>APOYAR AL MUNICIPIO DE FREDONIA, CON EL SUMINISTRO DE MATERIALES POR PARTE DEL DEPARTAMENTO DE ANTIOQUIA PARA LLEVAR A CABO EL MEJORAMIENTO DE VIAS URBANAS</t>
  </si>
  <si>
    <t xml:space="preserve">Calle 42 entre Carreras 50 y 49, Carrera 49 entre calles42 y 44, Calle 51 (Camino
sodoma),Calle 50 entre cra 47 y
48 (Variante de la
terminal, Carrera 49 b
Centenario
</t>
  </si>
  <si>
    <t>RESCILIADO</t>
  </si>
  <si>
    <t>15/11/2023:  Terminó el 30/11/2022 con 0% de ejecución. LIQUIDADO
el 18/08/2023 El municipio resilío del convenio 
el 11/09/2023 se envió la liquidación a mesa de ayuda.
16/05/2024 ACTA DE CIERRE</t>
  </si>
  <si>
    <t>ACTA  DE CIERRE</t>
  </si>
  <si>
    <t xml:space="preserve"> 22AS111B680</t>
  </si>
  <si>
    <t>APOYAR AL MUNICIPIO DE CARAMANTA, CON EL SUMINISTRO DE MATERIALES POR PARTE DEL DEPARTAMENTO DE ANTIOQUIA PARA LLEVAR A CABO EL MEJORAMIENTO DE VIAS URBANAS</t>
  </si>
  <si>
    <t>ALEGRIAS-AGUADITAS</t>
  </si>
  <si>
    <t xml:space="preserve">12/02/2024: TERMINADO 100%
30/07/2024 LIQUIDADO
28/08/2024 CON ACTA DE CIERRE DE EXPEDENDIENTE EN MESA DE AYUDA </t>
  </si>
  <si>
    <t xml:space="preserve"> 22AS111B720</t>
  </si>
  <si>
    <t>APOYAR AL MUNICIPIO DE VENECIA, CON EL SUMINISTRO DE MATERIALES POR PARTE DEL DEPARTAMENTO DE ANTIOQUIA PARA LLEVAR A CABO EL MEJORAMIENTO DE VIAS TERCIARIAS</t>
  </si>
  <si>
    <t>Venecia-El Recreo,Principal -Santa Ana,Principal-Palenque,Ramal-La Amalia 2</t>
  </si>
  <si>
    <t>Entregó el 100% de los materiales
03/12/2023 acta de terminación
21/05/2025 tercer solicitud de documentos para liquidar
23/10/2025 se realizó visita y reunión alcaldesa
16/02/2026 Se aprobó poliza para liquidación
25/02/2026 se envía invitación para liquidar bilitarlmente al municipio</t>
  </si>
  <si>
    <t>AUNAR ESFUERZOS ENTRE EL DEPARTAMENTO DE ANTIOQUIA Y
EL MUNICIPIO DE CARAMANTA, PARA LLEVAR A CABO EL MEJORAMIENTO DE VÍAS
TERCIARIAS UBICADAS EN EL MUNICIPIO ASOCIADO</t>
  </si>
  <si>
    <t>1. Caramanta  - Sucre
2. Alegrías - Las aguaditas
3. Caramanta - palmichal</t>
  </si>
  <si>
    <t>El 10/23/2023 se realizó ultima autorización entrega de materiales
Se autorizó el primer uso de recurso por $432.709.462  el 09/27/2023
Se autorizó el segundo uso de recurso por $423.395.704 el 8/11/2023
El  avance de la obra es de  60%
11/12/2023 SE AUTORIZÓ TERCER USO DE RECURSOS POR $331.043.543 EL 30 DE NOVIEMBRE de 2023
Como no se presentó por parted del mpio los C.E de interventoria que era el aporte del mismo,
05/05/2025 se envío oficio solicitando documentos
 07/05/2025 se realizó reunión con la directora de Legales y el alcalde y se quedo en que en noviembre ellos presentaban C.E y nosotros desembolsamos y liquidamos de acuerdo a dichos pagos</t>
  </si>
  <si>
    <t>23AS111B893</t>
  </si>
  <si>
    <t>APOYAR AL MUNICIPIO DE CARAMANTA, CON EL SUMINISTRO DE MATERIALES POR PARTE DEL DEPARTAMENTO DE ANTIOQUIA PARA LLEVAR A CABO EL MEJORAMIENTO
DE VÍAS TERCIARIAS UBICADAS EN EL MUNICIPIO ASOCIADO</t>
  </si>
  <si>
    <t>VIA ALEGRIAS- AGUADITA</t>
  </si>
  <si>
    <t>15/11/2023: TERMINADO 100%
El municipio no ha pasado documentación para la liquidación
05/05/2025 tercera solicitud de documentos para liquidar</t>
  </si>
  <si>
    <t>"AUNAR ESFUERZOS ENTRE EL DEPARTAMENTO DE ANTIOQUIA Y EL MUNICIPIO DE LA PINTADA, PARA LA EJECUCIÓN DEL MEJORAMIENTO DE VÍAS URBANAS UBICADAS EN EL MUNICIPIO ASOCIADO"</t>
  </si>
  <si>
    <t>1. Calle Principal Buenavista
2. Calle interna Buena Vista
3. Calle salida El Cairo</t>
  </si>
  <si>
    <t>12/02/2024 TERMINADO 100%
desembolso 100%
12/02/2025 se envía solicitud de documentos para liquidar</t>
  </si>
  <si>
    <t>23AS111B1169</t>
  </si>
  <si>
    <t>APOYAR AL MUNICIPIO DE FREDONIA, CON EL SUMINISTRO DE MATERIALES POR PARTE DEL DEPARTAMENTO DE ANTIOQUIA PARA LLEVAR A CABO EL MEJORAMIENTO DE VÍAS TERCIARIAS UBICADAS EN EL MUNICIPIO ASOCIADO.</t>
  </si>
  <si>
    <t>MURRAPAL – EL MOLINO (55980)
 SABALETAS – EL PLAN (05282VT06)
 EL MINA – EL CEMENTARIO (05282VT37)
 EL CARRETERO – (05282VT05)
 NARANJAL – POBLANCO (05282VT223</t>
  </si>
  <si>
    <t xml:space="preserve">
26/12/2023 terminación del convenio 
12/02/2026 LIQUIDADO
 02/03/2026 ACTA DE CIERRE</t>
  </si>
  <si>
    <t>ACTA DE CIERRE</t>
  </si>
  <si>
    <t>23AS111B952</t>
  </si>
  <si>
    <t>APOYAR AL MUNICIPIO DE FREDONIA, CON EL SUMINISTRO DE MATERIALES POR PARTE DEL DEPARTAMENTO DE ANTIOQUIA PARA LLEVAR A CABO EL MEJORAMIENTO DE VIAS TERCIARIAS UBICADAS EN EL MUNICIPIO ASOCIADO</t>
  </si>
  <si>
    <t>VIA MORRO PLANCHO
 (VEREDA EL CINCO)
VIA LOS TELEFONOS-COMBIA CHIQUITA
VIA SABALETAS- EL PLAN</t>
  </si>
  <si>
    <t xml:space="preserve">
26/10/2023 terminación del convenio 
19/02/2026 LIQUIDADO
 02/03/2026 ACTA DE CIERRE</t>
  </si>
  <si>
    <t>23AS111B1163</t>
  </si>
  <si>
    <t>APOYAR AL MUNICIPIO DE JERICO, CON EL SUMINISTRO DE MATERIALES POR PARTE DEL DEPARTAMENTO DE ANTIOQUIA PARA LLEVAR A CABO EL MEJORAMIENTO DE VÍAS TERCIARIAS UBICADAS EN EL MUNICIPIO ASOCIADO.</t>
  </si>
  <si>
    <t>Puente Iglesias (Ruta 25B) - La Ye – Jericó</t>
  </si>
  <si>
    <t>06/05/2024 Prorroga por 3 meses hasta el 02/08/2024 
08/07/2024 se autoriza hoy tercera y ultima entrega de materiales
5/02/2025 Con acta de terminación en mesa de ayuda, ejecución obra 75%, ejecución financiera 100%
20/03/2025 Se realiza visita técnica para liquidar
El mpio no ha pasado documentos para liquidar</t>
  </si>
  <si>
    <t>23AS111B1140</t>
  </si>
  <si>
    <t>APOYAR AL MUNICIPIO DE MONTEBELLO, CON EL SUMINISTRO DE MATERIALES POR PARTE DEL DEPARTAMENTO DE ANTIOQUIA PARA LLEVAR A CABO EL MEJORAMIENTO DE VIAS TERCIARIAS UBICADAS EN EL MUNICIPIO ASOCIADO</t>
  </si>
  <si>
    <t>Sabaletas-Sabanitas- Piedra Galana-La Quiebra (56024)</t>
  </si>
  <si>
    <t xml:space="preserve">15/11/2023: No han comenzado las obras.
El municipio priorizó una vía que compete al INVIAS, el cual a la fecha no le ha dado permiso de intervención al municipio , 
11/12/2023 Se solicitó la terminación anticipada del convenio al municipio
06/11/2025 liquidaciones envía oficio nuevamente solicitando resciliación, el mpio trae la resciliación
10/11/2025 Se firmo resciliación del convenio y se subió a mesa de ayuda
</t>
  </si>
  <si>
    <t>23AS111B954</t>
  </si>
  <si>
    <t>CARMELO SABANITAS</t>
  </si>
  <si>
    <t xml:space="preserve">TERMINADO 100%
10/10/2023 Acta de terminación 
30/10/204 se solicitó documentación para liquidar, El municipio No ha pasado documentación para la liquidación
</t>
  </si>
  <si>
    <t>APOYAR AL MUNICIPIO DE PUEBLORRICO CON EL SUMINISTRO DE MATERIALES POR PARTE DEL DEPARTAMENTO DE ANTIOQUIA PARA LLEVAR A CABO EL MEJORAMIENTO DE VÍAS TERCIARIAS UBICADAS EN EL MUNICIPIO ASOCIADO</t>
  </si>
  <si>
    <t>vía que conduce desde el casco urbano hacia la vereda del Sinaí.</t>
  </si>
  <si>
    <t>EN EJECUCIÓN</t>
  </si>
  <si>
    <t xml:space="preserve">
25/06/2024 Prorroga por 5 meses hasta el 14/11/2024
12/11/2024 prorroga por 2 meses y adicción $524.950.402, termina el 14 de enero del 2025
15/05/2025 Con acta de terminación firmada y en mesa de ayuda, pendiente de terminar la obra y liquidar
Visita en Julio, agosto y septiembre de 2025 para liquidar
01/10/2025 segunda solicitud documentos para liquidar</t>
  </si>
  <si>
    <t>23AS111B1150</t>
  </si>
  <si>
    <t>VIA EL CEDRON,VIA PUEBLORRICO - LA ENVIDIA,EL MANDARINO</t>
  </si>
  <si>
    <t>DESISTIO</t>
  </si>
  <si>
    <t xml:space="preserve">
 El Municipio solicita terminación anticipada el 23/11/2023, para lo cual se realiza acta de terminación con dicha fecha
NO SE HA REALIZADO LIQUIDACIÓN
07/11/2025 Se envía correo a liquidaciones solicitando la liquidación del mismo
02/03/2026 se realizó liquidación</t>
  </si>
  <si>
    <t>23AS111B778</t>
  </si>
  <si>
    <t xml:space="preserve"> APOYAR AL MUNICIPIO DE SANTA BARBARA, CON EL SUMINISTRO DE MATERIALES POR PARTE DEL DEPARTAMENTO DE ANTIOQUIA PARA LLEVAR A CABO EL MEJORAMIENTO DE VÍAS TERCIARIAS
UBICADAS EN EL MUNICIPIO ASOCIADO.</t>
  </si>
  <si>
    <t>SAN JOSE, QUIEBRA VALENCIA, BUEANA VISTA,LA ESPERANZA</t>
  </si>
  <si>
    <t xml:space="preserve"> EL MUNICIPIO NO EJECUTÓ LA OBRA (RESCILIÓ) Y SE LIQUIDó CON FECHA 04/10/2023
ACTA DE CIERRE 16/05/2024
</t>
  </si>
  <si>
    <t>23AS111B942</t>
  </si>
  <si>
    <t>APOYAR AL MUNICIPIO DE TÁMESIS, CON EL SUMINISTRO DE MATERIALES POR PARTE DEL DEPARTAMENTO DE ANTIOQUIA PARA LLEVAR A CABO EL MEJORAMIENTO
DE VÍAS TERCIARIAS UBICADAS EN EL MUNICIPIO ASOCIADO</t>
  </si>
  <si>
    <t>LA ALACENA-RIO FRIO, EL RAYO-ENCANTO- SAN ISIDRO</t>
  </si>
  <si>
    <t xml:space="preserve"> TERMINADO 100%
14/06/2024 ACTA DE TERMINACIÓN
10/03/2025 se realizó visita a campo por parte del supervisor, en revisión de detalles para liquidar, el municipio no ha enviado documentación para liquidar
20/02/2026 se envió documentación final para liquidar</t>
  </si>
  <si>
    <t>23AS111B1157</t>
  </si>
  <si>
    <t>APOYAR AL MUNICIPIO DE TARSO CON EL SUMINISTRO DE MATERIALES POR PARTE DEL DEPARTAMENTO DE ANTIOQUIA PARA LLEVAR A CABO EL MEJORAMIENTO DE VÍAS TERCIARIAS UBICADAS EN EL MUNICIPIO ASOCIADO</t>
  </si>
  <si>
    <t>LA LINDA (05792VT04)
EL LINDERO - LA LINDA (05792VT12)
LA MOTA - EL CEDRON (05792VT06)
LOS PELAES - EL CEDRON (05792VT05</t>
  </si>
  <si>
    <t>TERMINADO 100%
15/05/2024 ACTA DE TERMINACIÓN
No se ha enviado documentación para liquidar
05/02/2026 se reitera al municipio la importancia de enviar la documentación para liquidar</t>
  </si>
  <si>
    <t>23AS111B1151</t>
  </si>
  <si>
    <t>APOYAR AL MUNICIPIO DE VENECIA CON EL SUMINISTRO DE MATERIALES POR PARTE DEL DEPARTAMENTO DE ANTIOQUIA PARA LLEVAR A CABO EL MEJORAMIENTO DE VÍAS TERCIARIAS UBICADAS EN EL MUNICIPIO ASOCIADO</t>
  </si>
  <si>
    <t>Venecia-El Recreo, Ramales Palmichal,Principal -Santa Ana</t>
  </si>
  <si>
    <t xml:space="preserve">04/02/2024 Acta de terminación
20/02/2025 primera solicitud de documentos, no los han enviado
Se realizó visita técnica en febrero de 2026
12/11/2025 se envió Requerimiento 2 Solicitud de documentos para liquidación
</t>
  </si>
  <si>
    <t>24AS111B2059</t>
  </si>
  <si>
    <t>"APOYAR AL MUNICIPIO DE FREDONIA, CON EL SUMINISTRO DE MATERIALES POR PARTE DEL DEPARTAMENTO DE ANTIOQUIA PARA LLEVAR A CABO EL MEJORAMIENTO DE VÍAS TERCIARIAS UBICADAS EN EL MUNICIPIO ASOCIADO"</t>
  </si>
  <si>
    <t>EL CARRETERO PARTE ALTA
SABANALES-EL PLAN
CORDILLERA
EL PORVENIR
EL CALVARIO</t>
  </si>
  <si>
    <t xml:space="preserve">20/08/2025 prorroga #1 por 2 meses, nueva fecha de terminación el 22/10/2025 
22/10/2025 Acta de terminación
22/01/2025 se realizo visita técnica y se constato el 100% de ejecución fisica, sin embargo, se identifican aspectos puntuales que requieren atención inmediata para la liquidación.
25/02/2025 primera solicitud de documentos para liquidar
</t>
  </si>
  <si>
    <t>PENDIENTE</t>
  </si>
  <si>
    <t>24AS111B2022</t>
  </si>
  <si>
    <t>"APOYAR AL MUNICIPIO DE MONTEBELLO, CON EL SUMINISTRO DE MATERIALES POR PARTE DEL DEPARTAMENTO DE ANTIOQUIA PARA LLEVAR A CABO EL MEJORAMIENTO DE VÍAS TERCIARIAS UBICADAS EN EL MUNICIPIO ASOCIADO"</t>
  </si>
  <si>
    <t>LOS PINOS
LA PEÑA-LOS PINOS
LOS PINOS-LA TRINIDAD
EL ENCENILLO-LA CAMELIA T1
EL ENCENILLO-LA CAMELIA T2</t>
  </si>
  <si>
    <t xml:space="preserve">15/05/2025 no han iniciado obra, argumentan el dia 14 de mayo, que por la ola invernal no han podido iniciar, se les envia correo reiterando que si las vias a intervenir no estan afectadas por la calamidad, este debe ser iniciado ya que el convenio no tendrá prorroga
17/09/2025 PRORROGA por 2 meses, nueva fecha de terminación 15/11/2025 13/11/2025 Se realizó visita técnica.
18/11/2025 se realizó acta de terminación
25/02/2025 primera solicitud de documentos para liquidar
</t>
  </si>
  <si>
    <t>24AS111B2033</t>
  </si>
  <si>
    <t>"APOYAR AL MUNICIPIO DE SANTA BÁRBARA, CON EL SUMINISTRO DE MATERIALES POR PARTE DEL DEPARTAMENTO DE ANTIOQUIA PARA LLEVAR A CABO EL MEJORAMIENTO DE VÍAS TERCIARIAS UBICADAS EN EL MUNICIPIO ASOCIADO"</t>
  </si>
  <si>
    <t>VÍA VEREDA LA ESPERANZA
VÍA QUIEBRA-CORDONCILLO</t>
  </si>
  <si>
    <t>11/07/2025 APROBADA prorroga por 3 meses hasta el 17/10/2025 acta de terminación 
02/09/2025 se realizó visita técnica
17/10/2025 se realizo acta de terminación
25/02/2025 primera solicitud de documentos para liquidar</t>
  </si>
  <si>
    <t>24AS111B2051</t>
  </si>
  <si>
    <t>"APOYAR AL MUNICIPIO DE TARSO, CON EL SUMINISTRO DE MATERIALES POR PARTE DEL DEPARTAMENTO DE ANTIOQUIA PARA LLEVAR A CABO EL MEJORAMIENTO DE VÍAS TERCIARIAS UBICADAS EN EL MUNICIPIO ASOCIADO"</t>
  </si>
  <si>
    <t>DIVINO NIÑO
EL BIZCOCHO
LOS MOLINA</t>
  </si>
  <si>
    <t xml:space="preserve">
Se entregó todo el material, obra 100%
pendiente liquidar
25/02/2025 primera solicitud de documentos para liquidar</t>
  </si>
  <si>
    <t>RECURSOS</t>
  </si>
  <si>
    <t>ARTICULAR Y COORDINAR ESFUERZOS ENTRE EL
DEPARTAMENTO DE ANTIOQUIA Y EL MUNICIPIO DE JERICÓ, PARA LA EJECUCIÓN
DEL MEJORAMIENTO DE VÍAS RURALES UBICADAS EN EL MUNICIPIO ASOCIADO.</t>
  </si>
  <si>
    <t>vía de terciaría, 60AN04-1-1, Tramo 1 sector Castalia
Conexión Calle 9 - Av Circunvalar, Tramo 2</t>
  </si>
  <si>
    <t>Se trasladaron 214.750.280 de recursos al idea (100%)
18/02/2026 Se realizó visita técnica
Se realizaron 137m en la vía la castalia - (Tramo 1)
Se realizaron 60m en la via Conexión Calle 9 - Av Circunvalar (Tramo 2)
5/01/2026 se realizó acta de terminación</t>
  </si>
  <si>
    <t>CONVENIO INTERADMINISTRATIVO PARA LA ADECUACIÓN DE LA CARRERA 9 DEL MUNICIPIO DE TÁMESIS, MEDIANTE LA IMPLEMENTACIÓN DE UNA INTERVENCIÓN DE URBANISMO TÁCTICO DENOMINADA CALLE MITOLÓGICA</t>
  </si>
  <si>
    <t>Carrera 9 Calle Mitologica</t>
  </si>
  <si>
    <t xml:space="preserve">Se trasladaron los recursos al idea (100%)
Se realizó suspension N°1 por un (1) mes por el cambioen las redes de acueducto y alcantarillado en la carrera 9 con fecha de reaunudación el 27/02/2026
16/02/2026 se realizó visita técnica
</t>
  </si>
  <si>
    <t>PLAZO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</si>
</sst>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&quot;$&quot;\ #,##0"/>
    <numFmt numFmtId="165" formatCode="_-&quot;$&quot;\ * #,##0_-;\-&quot;$&quot;\ * #,##0_-;_-&quot;$&quot;\ * &quot;-&quot;??_-;_-@_-"/>
    <numFmt numFmtId="166" formatCode="yyyy\-mm\-dd;@"/>
    <numFmt numFmtId="167" formatCode="#,##0.000"/>
    <numFmt numFmtId="168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CF5E7"/>
        <bgColor indexed="64"/>
      </patternFill>
    </fill>
    <fill>
      <patternFill patternType="solid">
        <fgColor rgb="FFE8D2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4">
    <xf numFmtId="0" fontId="0" fillId="0" borderId="0" xfId="0"/>
    <xf numFmtId="164" fontId="0" fillId="0" borderId="1" xfId="1" applyNumberFormat="1" applyFont="1" applyFill="1" applyBorder="1" applyAlignment="1">
      <alignment horizontal="center" vertical="center" wrapText="1"/>
    </xf>
    <xf numFmtId="165" fontId="0" fillId="0" borderId="1" xfId="1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65" fontId="0" fillId="0" borderId="2" xfId="1" applyNumberFormat="1" applyFont="1" applyFill="1" applyBorder="1" applyAlignment="1">
      <alignment horizontal="center" vertical="center" wrapText="1"/>
    </xf>
    <xf numFmtId="164" fontId="0" fillId="0" borderId="2" xfId="1" applyNumberFormat="1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6" fontId="0" fillId="0" borderId="2" xfId="0" applyNumberForma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 vertical="center"/>
    </xf>
    <xf numFmtId="164" fontId="3" fillId="0" borderId="2" xfId="1" applyNumberFormat="1" applyFont="1" applyFill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3" fillId="0" borderId="2" xfId="0" applyNumberFormat="1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166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168" fontId="0" fillId="0" borderId="1" xfId="0" applyNumberForma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44" fontId="0" fillId="0" borderId="1" xfId="1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2" fontId="0" fillId="0" borderId="0" xfId="0" applyNumberFormat="1"/>
  </cellXfs>
  <cellStyles count="2">
    <cellStyle name="Moneda" xfId="1" builtinId="4"/>
    <cellStyle name="Normal" xfId="0" builtinId="0"/>
  </cellStyles>
  <dxfs count="14"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  <dxf>
      <fill>
        <patternFill>
          <fgColor theme="9" tint="0.79989013336588644"/>
          <bgColor rgb="FFECF5E7"/>
        </patternFill>
      </fill>
    </dxf>
  </dxfs>
  <tableStyles count="0" defaultTableStyle="TableStyleMedium2" defaultPivotStyle="PivotStyleLight16"/>
  <colors>
    <mruColors>
      <color rgb="FFECF5E7"/>
      <color rgb="FFE8D2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8"/>
  <sheetViews>
    <sheetView tabSelected="1" zoomScale="85" zoomScaleNormal="85" workbookViewId="0">
      <pane xSplit="6" topLeftCell="H1" activePane="topRight" state="frozen"/>
      <selection pane="topRight" activeCell="J2" sqref="J2"/>
    </sheetView>
  </sheetViews>
  <sheetFormatPr baseColWidth="10" defaultColWidth="9.140625" defaultRowHeight="15" x14ac:dyDescent="0.25"/>
  <cols>
    <col min="1" max="1" width="19.5703125" customWidth="1"/>
    <col min="2" max="2" width="21.28515625" customWidth="1"/>
    <col min="3" max="3" width="13.85546875" customWidth="1"/>
    <col min="4" max="4" width="18.140625" customWidth="1"/>
    <col min="5" max="5" width="19.5703125" customWidth="1"/>
    <col min="6" max="6" width="31.42578125" customWidth="1"/>
    <col min="7" max="7" width="24.42578125" customWidth="1"/>
    <col min="8" max="8" width="38.42578125" customWidth="1"/>
    <col min="9" max="9" width="33.42578125" customWidth="1"/>
    <col min="10" max="10" width="15.7109375" customWidth="1"/>
    <col min="11" max="11" width="15.28515625" customWidth="1"/>
    <col min="12" max="12" width="13.7109375" customWidth="1"/>
    <col min="13" max="13" width="17.5703125" customWidth="1"/>
    <col min="14" max="14" width="16.42578125" customWidth="1"/>
    <col min="15" max="15" width="15.42578125" customWidth="1"/>
    <col min="16" max="16" width="15.85546875" customWidth="1"/>
    <col min="17" max="17" width="12.7109375" customWidth="1"/>
    <col min="18" max="18" width="14.5703125" customWidth="1"/>
    <col min="19" max="19" width="11.42578125" customWidth="1"/>
    <col min="20" max="20" width="12" customWidth="1"/>
    <col min="21" max="21" width="15" customWidth="1"/>
    <col min="22" max="22" width="12.5703125" customWidth="1"/>
    <col min="23" max="23" width="10.85546875" customWidth="1"/>
    <col min="24" max="24" width="10.5703125" customWidth="1"/>
    <col min="25" max="25" width="12.140625" customWidth="1"/>
    <col min="26" max="26" width="15.42578125" customWidth="1"/>
    <col min="27" max="27" width="7" style="53" customWidth="1"/>
    <col min="28" max="28" width="15.28515625" customWidth="1"/>
    <col min="29" max="29" width="16.42578125" customWidth="1"/>
    <col min="30" max="30" width="15.85546875" customWidth="1"/>
    <col min="31" max="31" width="16.85546875" customWidth="1"/>
    <col min="32" max="32" width="14.7109375" customWidth="1"/>
    <col min="33" max="33" width="20" customWidth="1"/>
    <col min="34" max="34" width="72.7109375" customWidth="1"/>
    <col min="35" max="35" width="14.5703125" customWidth="1"/>
    <col min="36" max="36" width="15.85546875" customWidth="1"/>
  </cols>
  <sheetData>
    <row r="1" spans="1:35" ht="82.5" customHeight="1" thickBot="1" x14ac:dyDescent="0.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8</v>
      </c>
      <c r="J1" s="10" t="s">
        <v>227</v>
      </c>
      <c r="K1" s="10" t="s">
        <v>9</v>
      </c>
      <c r="L1" s="10" t="s">
        <v>10</v>
      </c>
      <c r="M1" s="10" t="s">
        <v>11</v>
      </c>
      <c r="N1" s="10" t="s">
        <v>12</v>
      </c>
      <c r="O1" s="9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  <c r="AA1" s="52" t="s">
        <v>25</v>
      </c>
      <c r="AB1" s="10" t="s">
        <v>26</v>
      </c>
      <c r="AC1" s="10" t="s">
        <v>27</v>
      </c>
      <c r="AD1" s="10" t="s">
        <v>28</v>
      </c>
      <c r="AE1" s="10" t="s">
        <v>29</v>
      </c>
      <c r="AF1" s="10" t="s">
        <v>30</v>
      </c>
      <c r="AG1" s="10" t="s">
        <v>31</v>
      </c>
      <c r="AH1" s="10" t="s">
        <v>32</v>
      </c>
      <c r="AI1" s="11" t="s">
        <v>33</v>
      </c>
    </row>
    <row r="2" spans="1:35" ht="132" customHeight="1" x14ac:dyDescent="0.25">
      <c r="A2" s="3">
        <v>2018</v>
      </c>
      <c r="B2" s="4" t="s">
        <v>34</v>
      </c>
      <c r="C2" s="4" t="s">
        <v>35</v>
      </c>
      <c r="D2" s="4"/>
      <c r="E2" s="14">
        <v>4600008935</v>
      </c>
      <c r="F2" s="4" t="s">
        <v>36</v>
      </c>
      <c r="G2" s="4" t="s">
        <v>37</v>
      </c>
      <c r="H2" s="4" t="s">
        <v>38</v>
      </c>
      <c r="I2" s="3" t="s">
        <v>39</v>
      </c>
      <c r="J2" s="7">
        <v>2</v>
      </c>
      <c r="K2" s="16">
        <v>1700</v>
      </c>
      <c r="L2" s="3">
        <v>0</v>
      </c>
      <c r="M2" s="5">
        <v>396000000</v>
      </c>
      <c r="N2" s="6">
        <v>176405210</v>
      </c>
      <c r="O2" s="17">
        <f t="shared" ref="O2:O7" si="0">+SUM(M2+N2)</f>
        <v>572405210</v>
      </c>
      <c r="P2" s="6">
        <v>0</v>
      </c>
      <c r="Q2" s="6">
        <v>0</v>
      </c>
      <c r="R2" s="18">
        <f t="shared" ref="R2:R7" si="1">+SUM(O2:Q2)</f>
        <v>572405210</v>
      </c>
      <c r="S2" s="19" t="s">
        <v>40</v>
      </c>
      <c r="T2" s="19" t="s">
        <v>40</v>
      </c>
      <c r="U2" s="13">
        <v>43441</v>
      </c>
      <c r="V2" s="12">
        <v>43441</v>
      </c>
      <c r="W2" s="12">
        <v>43448</v>
      </c>
      <c r="X2" s="7">
        <v>0</v>
      </c>
      <c r="Y2" s="7">
        <v>0</v>
      </c>
      <c r="Z2" s="12">
        <v>43448</v>
      </c>
      <c r="AA2" s="7">
        <f ca="1">Z2 - TODAY()</f>
        <v>-2707</v>
      </c>
      <c r="AB2" s="3">
        <v>0</v>
      </c>
      <c r="AC2" s="3">
        <v>0</v>
      </c>
      <c r="AD2" s="6">
        <v>118800000</v>
      </c>
      <c r="AE2" s="6">
        <v>0</v>
      </c>
      <c r="AF2" s="21">
        <f t="shared" ref="AF2:AF47" si="2">AB2/K2</f>
        <v>0</v>
      </c>
      <c r="AG2" s="21">
        <f t="shared" ref="AG2:AG7" si="3">AE2/AD2</f>
        <v>0</v>
      </c>
      <c r="AH2" s="4" t="s">
        <v>41</v>
      </c>
      <c r="AI2" s="3" t="s">
        <v>42</v>
      </c>
    </row>
    <row r="3" spans="1:35" ht="110.25" customHeight="1" x14ac:dyDescent="0.25">
      <c r="A3" s="3">
        <v>2018</v>
      </c>
      <c r="B3" s="4" t="s">
        <v>34</v>
      </c>
      <c r="C3" s="4" t="s">
        <v>35</v>
      </c>
      <c r="D3" s="4"/>
      <c r="E3" s="14">
        <v>4600008936</v>
      </c>
      <c r="F3" s="4" t="s">
        <v>36</v>
      </c>
      <c r="G3" s="4" t="s">
        <v>37</v>
      </c>
      <c r="H3" s="4" t="s">
        <v>38</v>
      </c>
      <c r="I3" s="4" t="s">
        <v>43</v>
      </c>
      <c r="J3" s="7">
        <v>1</v>
      </c>
      <c r="K3" s="16">
        <v>1000</v>
      </c>
      <c r="L3" s="3">
        <v>0</v>
      </c>
      <c r="M3" s="2">
        <v>327695990</v>
      </c>
      <c r="N3" s="1">
        <v>86948199</v>
      </c>
      <c r="O3" s="17">
        <f t="shared" si="0"/>
        <v>414644189</v>
      </c>
      <c r="P3" s="6">
        <v>0</v>
      </c>
      <c r="Q3" s="6">
        <v>0</v>
      </c>
      <c r="R3" s="18">
        <f t="shared" si="1"/>
        <v>414644189</v>
      </c>
      <c r="S3" s="19" t="s">
        <v>40</v>
      </c>
      <c r="T3" s="19" t="s">
        <v>40</v>
      </c>
      <c r="U3" s="13">
        <v>43441</v>
      </c>
      <c r="V3" s="12">
        <v>43441</v>
      </c>
      <c r="W3" s="12">
        <v>43448</v>
      </c>
      <c r="X3" s="7">
        <v>0</v>
      </c>
      <c r="Y3" s="7">
        <v>0</v>
      </c>
      <c r="Z3" s="12">
        <v>43448</v>
      </c>
      <c r="AA3" s="7">
        <f t="shared" ref="AA3:AA48" ca="1" si="4">Z3 - TODAY()</f>
        <v>-2707</v>
      </c>
      <c r="AB3" s="3">
        <v>0</v>
      </c>
      <c r="AC3" s="3">
        <v>0</v>
      </c>
      <c r="AD3" s="6">
        <v>98100000</v>
      </c>
      <c r="AE3" s="6">
        <v>0</v>
      </c>
      <c r="AF3" s="21">
        <f t="shared" si="2"/>
        <v>0</v>
      </c>
      <c r="AG3" s="21">
        <f t="shared" si="3"/>
        <v>0</v>
      </c>
      <c r="AH3" s="4" t="s">
        <v>44</v>
      </c>
      <c r="AI3" s="3" t="s">
        <v>42</v>
      </c>
    </row>
    <row r="4" spans="1:35" ht="107.25" customHeight="1" x14ac:dyDescent="0.25">
      <c r="A4" s="3">
        <v>2018</v>
      </c>
      <c r="B4" s="4" t="s">
        <v>34</v>
      </c>
      <c r="C4" s="4" t="s">
        <v>35</v>
      </c>
      <c r="D4" s="4"/>
      <c r="E4" s="15">
        <v>4600008962</v>
      </c>
      <c r="F4" s="4" t="s">
        <v>45</v>
      </c>
      <c r="G4" s="4" t="s">
        <v>37</v>
      </c>
      <c r="H4" s="20" t="s">
        <v>46</v>
      </c>
      <c r="I4" s="20" t="s">
        <v>47</v>
      </c>
      <c r="J4" s="4">
        <v>1</v>
      </c>
      <c r="K4" s="16">
        <v>4000</v>
      </c>
      <c r="L4" s="3">
        <v>0</v>
      </c>
      <c r="M4" s="2">
        <v>1632000000</v>
      </c>
      <c r="N4" s="2">
        <v>710052827</v>
      </c>
      <c r="O4" s="17">
        <f t="shared" si="0"/>
        <v>2342052827</v>
      </c>
      <c r="P4" s="6">
        <v>0</v>
      </c>
      <c r="Q4" s="6">
        <v>0</v>
      </c>
      <c r="R4" s="18">
        <f t="shared" si="1"/>
        <v>2342052827</v>
      </c>
      <c r="S4" s="19" t="s">
        <v>40</v>
      </c>
      <c r="T4" s="19" t="s">
        <v>40</v>
      </c>
      <c r="U4" s="13">
        <v>43447</v>
      </c>
      <c r="V4" s="12">
        <v>43447</v>
      </c>
      <c r="W4" s="12">
        <v>43448</v>
      </c>
      <c r="X4" s="7">
        <v>0</v>
      </c>
      <c r="Y4" s="7">
        <v>0</v>
      </c>
      <c r="Z4" s="12">
        <v>43448</v>
      </c>
      <c r="AA4" s="7">
        <f t="shared" ca="1" si="4"/>
        <v>-2707</v>
      </c>
      <c r="AB4" s="3">
        <v>0</v>
      </c>
      <c r="AC4" s="3">
        <v>0</v>
      </c>
      <c r="AD4" s="6">
        <v>1632000000</v>
      </c>
      <c r="AE4" s="6">
        <v>0</v>
      </c>
      <c r="AF4" s="21">
        <f t="shared" si="2"/>
        <v>0</v>
      </c>
      <c r="AG4" s="21">
        <f t="shared" si="3"/>
        <v>0</v>
      </c>
      <c r="AH4" s="20" t="s">
        <v>48</v>
      </c>
      <c r="AI4" s="3" t="s">
        <v>42</v>
      </c>
    </row>
    <row r="5" spans="1:35" ht="123" customHeight="1" x14ac:dyDescent="0.25">
      <c r="A5" s="3">
        <v>2020</v>
      </c>
      <c r="B5" s="4" t="s">
        <v>34</v>
      </c>
      <c r="C5" s="4" t="s">
        <v>35</v>
      </c>
      <c r="D5" s="4" t="s">
        <v>49</v>
      </c>
      <c r="E5" s="15">
        <v>4600011451</v>
      </c>
      <c r="F5" s="4" t="s">
        <v>50</v>
      </c>
      <c r="G5" s="4" t="s">
        <v>37</v>
      </c>
      <c r="H5" s="20" t="s">
        <v>51</v>
      </c>
      <c r="I5" s="20" t="s">
        <v>52</v>
      </c>
      <c r="J5" s="4">
        <v>9</v>
      </c>
      <c r="K5" s="16">
        <v>2200</v>
      </c>
      <c r="L5" s="3">
        <v>0</v>
      </c>
      <c r="M5" s="2">
        <v>900000000</v>
      </c>
      <c r="N5" s="2">
        <v>1127188291</v>
      </c>
      <c r="O5" s="17">
        <f t="shared" si="0"/>
        <v>2027188291</v>
      </c>
      <c r="P5" s="6">
        <v>0</v>
      </c>
      <c r="Q5" s="6">
        <v>0</v>
      </c>
      <c r="R5" s="18">
        <f t="shared" si="1"/>
        <v>2027188291</v>
      </c>
      <c r="S5" s="19" t="s">
        <v>40</v>
      </c>
      <c r="T5" s="19" t="s">
        <v>40</v>
      </c>
      <c r="U5" s="13">
        <v>44194</v>
      </c>
      <c r="V5" s="12">
        <v>44194</v>
      </c>
      <c r="W5" s="12">
        <v>44468</v>
      </c>
      <c r="X5" s="7">
        <v>0</v>
      </c>
      <c r="Y5" s="7">
        <v>0</v>
      </c>
      <c r="Z5" s="12">
        <v>44468</v>
      </c>
      <c r="AA5" s="7">
        <f t="shared" ca="1" si="4"/>
        <v>-1687</v>
      </c>
      <c r="AB5" s="16">
        <v>2200</v>
      </c>
      <c r="AC5" s="3">
        <v>0</v>
      </c>
      <c r="AD5" s="6">
        <v>900000000</v>
      </c>
      <c r="AE5" s="6">
        <v>418184892</v>
      </c>
      <c r="AF5" s="21">
        <f t="shared" si="2"/>
        <v>1</v>
      </c>
      <c r="AG5" s="22">
        <f t="shared" si="3"/>
        <v>0.46464988000000002</v>
      </c>
      <c r="AH5" s="20" t="s">
        <v>53</v>
      </c>
      <c r="AI5" s="3" t="s">
        <v>42</v>
      </c>
    </row>
    <row r="6" spans="1:35" ht="90" x14ac:dyDescent="0.25">
      <c r="A6" s="3">
        <v>2020</v>
      </c>
      <c r="B6" s="20" t="s">
        <v>34</v>
      </c>
      <c r="C6" s="20" t="s">
        <v>54</v>
      </c>
      <c r="D6" s="20" t="s">
        <v>49</v>
      </c>
      <c r="E6" s="23">
        <v>4600011453</v>
      </c>
      <c r="F6" s="20" t="s">
        <v>55</v>
      </c>
      <c r="G6" s="20" t="s">
        <v>37</v>
      </c>
      <c r="H6" s="20" t="s">
        <v>56</v>
      </c>
      <c r="I6" s="20" t="s">
        <v>57</v>
      </c>
      <c r="J6" s="20">
        <v>10</v>
      </c>
      <c r="K6" s="25">
        <v>1706</v>
      </c>
      <c r="L6" s="24">
        <v>0</v>
      </c>
      <c r="M6" s="2">
        <v>900000000</v>
      </c>
      <c r="N6" s="2">
        <v>1012644727</v>
      </c>
      <c r="O6" s="26">
        <f t="shared" si="0"/>
        <v>1912644727</v>
      </c>
      <c r="P6" s="1">
        <v>0</v>
      </c>
      <c r="Q6" s="1">
        <v>0</v>
      </c>
      <c r="R6" s="27">
        <f t="shared" si="1"/>
        <v>1912644727</v>
      </c>
      <c r="S6" s="28" t="s">
        <v>40</v>
      </c>
      <c r="T6" s="28" t="s">
        <v>40</v>
      </c>
      <c r="U6" s="29">
        <v>44193</v>
      </c>
      <c r="V6" s="30">
        <v>44193</v>
      </c>
      <c r="W6" s="30">
        <v>44497</v>
      </c>
      <c r="X6" s="31">
        <v>0</v>
      </c>
      <c r="Y6" s="31">
        <v>0</v>
      </c>
      <c r="Z6" s="30">
        <v>44497</v>
      </c>
      <c r="AA6" s="7">
        <f t="shared" ca="1" si="4"/>
        <v>-1658</v>
      </c>
      <c r="AB6" s="25">
        <v>1706</v>
      </c>
      <c r="AC6" s="24">
        <v>0</v>
      </c>
      <c r="AD6" s="1">
        <v>900000000</v>
      </c>
      <c r="AE6" s="1">
        <v>875620431</v>
      </c>
      <c r="AF6" s="32">
        <f t="shared" si="2"/>
        <v>1</v>
      </c>
      <c r="AG6" s="33">
        <f t="shared" si="3"/>
        <v>0.97291159000000005</v>
      </c>
      <c r="AH6" s="20" t="s">
        <v>58</v>
      </c>
      <c r="AI6" s="24" t="s">
        <v>42</v>
      </c>
    </row>
    <row r="7" spans="1:35" ht="75" x14ac:dyDescent="0.25">
      <c r="A7" s="3">
        <v>2020</v>
      </c>
      <c r="B7" s="20" t="s">
        <v>34</v>
      </c>
      <c r="C7" s="4" t="s">
        <v>35</v>
      </c>
      <c r="D7" s="20" t="s">
        <v>49</v>
      </c>
      <c r="E7" s="23">
        <v>4600011536</v>
      </c>
      <c r="F7" s="20" t="s">
        <v>59</v>
      </c>
      <c r="G7" s="20" t="s">
        <v>37</v>
      </c>
      <c r="H7" s="20" t="s">
        <v>60</v>
      </c>
      <c r="I7" s="20" t="s">
        <v>61</v>
      </c>
      <c r="J7" s="20">
        <v>10</v>
      </c>
      <c r="K7" s="25">
        <v>1750</v>
      </c>
      <c r="L7" s="24">
        <v>0</v>
      </c>
      <c r="M7" s="2">
        <v>899998983</v>
      </c>
      <c r="N7" s="2">
        <v>899998983</v>
      </c>
      <c r="O7" s="26">
        <f t="shared" si="0"/>
        <v>1799997966</v>
      </c>
      <c r="P7" s="1">
        <v>0</v>
      </c>
      <c r="Q7" s="1">
        <v>0</v>
      </c>
      <c r="R7" s="27">
        <f t="shared" si="1"/>
        <v>1799997966</v>
      </c>
      <c r="S7" s="28" t="s">
        <v>40</v>
      </c>
      <c r="T7" s="28" t="s">
        <v>40</v>
      </c>
      <c r="U7" s="29">
        <v>44195</v>
      </c>
      <c r="V7" s="30">
        <v>44195</v>
      </c>
      <c r="W7" s="30">
        <v>44499</v>
      </c>
      <c r="X7" s="31">
        <v>0</v>
      </c>
      <c r="Y7" s="31">
        <v>0</v>
      </c>
      <c r="Z7" s="30">
        <v>44499</v>
      </c>
      <c r="AA7" s="7">
        <f t="shared" ca="1" si="4"/>
        <v>-1656</v>
      </c>
      <c r="AB7" s="25">
        <v>1750</v>
      </c>
      <c r="AC7" s="24">
        <v>0</v>
      </c>
      <c r="AD7" s="1">
        <v>899998983</v>
      </c>
      <c r="AE7" s="1">
        <v>899998983</v>
      </c>
      <c r="AF7" s="32">
        <f t="shared" si="2"/>
        <v>1</v>
      </c>
      <c r="AG7" s="33">
        <f t="shared" si="3"/>
        <v>1</v>
      </c>
      <c r="AH7" s="34" t="s">
        <v>62</v>
      </c>
      <c r="AI7" s="24" t="s">
        <v>42</v>
      </c>
    </row>
    <row r="8" spans="1:35" ht="90" x14ac:dyDescent="0.25">
      <c r="A8" s="3">
        <v>2020</v>
      </c>
      <c r="B8" s="20" t="s">
        <v>34</v>
      </c>
      <c r="C8" s="4" t="s">
        <v>63</v>
      </c>
      <c r="D8" s="20" t="s">
        <v>64</v>
      </c>
      <c r="E8" s="23">
        <v>4600010968</v>
      </c>
      <c r="F8" s="20" t="s">
        <v>50</v>
      </c>
      <c r="G8" s="20" t="s">
        <v>37</v>
      </c>
      <c r="H8" s="20" t="s">
        <v>65</v>
      </c>
      <c r="I8" s="20" t="s">
        <v>66</v>
      </c>
      <c r="J8" s="20">
        <v>4</v>
      </c>
      <c r="K8" s="25">
        <v>20300</v>
      </c>
      <c r="L8" s="24">
        <v>0</v>
      </c>
      <c r="M8" s="2">
        <v>38644410</v>
      </c>
      <c r="N8" s="2">
        <v>4293823</v>
      </c>
      <c r="O8" s="26">
        <f t="shared" ref="O8" si="5">+SUM(M8+N8)</f>
        <v>42938233</v>
      </c>
      <c r="P8" s="1">
        <v>0</v>
      </c>
      <c r="Q8" s="1">
        <v>0</v>
      </c>
      <c r="R8" s="27">
        <f t="shared" ref="R8" si="6">+SUM(O8:Q8)</f>
        <v>42938233</v>
      </c>
      <c r="S8" s="28" t="s">
        <v>40</v>
      </c>
      <c r="T8" s="28" t="s">
        <v>40</v>
      </c>
      <c r="U8" s="29">
        <v>44195</v>
      </c>
      <c r="V8" s="30">
        <v>43962</v>
      </c>
      <c r="W8" s="30">
        <v>44196</v>
      </c>
      <c r="X8" s="31">
        <v>0</v>
      </c>
      <c r="Y8" s="31">
        <v>0</v>
      </c>
      <c r="Z8" s="30">
        <v>44196</v>
      </c>
      <c r="AA8" s="7">
        <f t="shared" ca="1" si="4"/>
        <v>-1959</v>
      </c>
      <c r="AB8" s="25">
        <v>20300</v>
      </c>
      <c r="AC8" s="24">
        <v>0</v>
      </c>
      <c r="AD8" s="1">
        <v>38644410</v>
      </c>
      <c r="AE8" s="1">
        <v>38644410</v>
      </c>
      <c r="AF8" s="32">
        <f t="shared" si="2"/>
        <v>1</v>
      </c>
      <c r="AG8" s="33">
        <f t="shared" ref="AG8" si="7">AE8/AD8</f>
        <v>1</v>
      </c>
      <c r="AH8" s="34" t="s">
        <v>67</v>
      </c>
      <c r="AI8" s="24" t="s">
        <v>42</v>
      </c>
    </row>
    <row r="9" spans="1:35" ht="105" x14ac:dyDescent="0.25">
      <c r="A9" s="3">
        <v>2020</v>
      </c>
      <c r="B9" s="20" t="s">
        <v>34</v>
      </c>
      <c r="C9" s="4" t="s">
        <v>63</v>
      </c>
      <c r="D9" s="20" t="s">
        <v>64</v>
      </c>
      <c r="E9" s="23">
        <v>4600011002</v>
      </c>
      <c r="F9" s="20" t="s">
        <v>36</v>
      </c>
      <c r="G9" s="20" t="s">
        <v>37</v>
      </c>
      <c r="H9" s="20" t="s">
        <v>68</v>
      </c>
      <c r="I9" s="20" t="s">
        <v>69</v>
      </c>
      <c r="J9" s="20">
        <v>4</v>
      </c>
      <c r="K9" s="25">
        <v>24500</v>
      </c>
      <c r="L9" s="24">
        <v>0</v>
      </c>
      <c r="M9" s="2">
        <v>34810470</v>
      </c>
      <c r="N9" s="2">
        <v>14918773</v>
      </c>
      <c r="O9" s="26">
        <f t="shared" ref="O9" si="8">+SUM(M9+N9)</f>
        <v>49729243</v>
      </c>
      <c r="P9" s="1">
        <v>0</v>
      </c>
      <c r="Q9" s="1">
        <v>0</v>
      </c>
      <c r="R9" s="27">
        <f t="shared" ref="R9" si="9">+SUM(O9:Q9)</f>
        <v>49729243</v>
      </c>
      <c r="S9" s="28" t="s">
        <v>40</v>
      </c>
      <c r="T9" s="28" t="s">
        <v>40</v>
      </c>
      <c r="U9" s="29">
        <v>44195</v>
      </c>
      <c r="V9" s="30">
        <v>44154</v>
      </c>
      <c r="W9" s="30">
        <v>44196</v>
      </c>
      <c r="X9" s="31">
        <v>0</v>
      </c>
      <c r="Y9" s="31">
        <v>0</v>
      </c>
      <c r="Z9" s="30">
        <v>44196</v>
      </c>
      <c r="AA9" s="7">
        <f t="shared" ca="1" si="4"/>
        <v>-1959</v>
      </c>
      <c r="AB9" s="25">
        <v>24500</v>
      </c>
      <c r="AC9" s="24">
        <v>0</v>
      </c>
      <c r="AD9" s="2">
        <v>34810470</v>
      </c>
      <c r="AE9" s="2">
        <v>34810470</v>
      </c>
      <c r="AF9" s="32">
        <f t="shared" si="2"/>
        <v>1</v>
      </c>
      <c r="AG9" s="33">
        <f t="shared" ref="AG9" si="10">AE9/AD9</f>
        <v>1</v>
      </c>
      <c r="AH9" s="49" t="s">
        <v>70</v>
      </c>
      <c r="AI9" s="24" t="s">
        <v>42</v>
      </c>
    </row>
    <row r="10" spans="1:35" ht="111" customHeight="1" x14ac:dyDescent="0.25">
      <c r="A10" s="3">
        <v>2020</v>
      </c>
      <c r="B10" s="20" t="s">
        <v>34</v>
      </c>
      <c r="C10" s="4" t="s">
        <v>63</v>
      </c>
      <c r="D10" s="20" t="s">
        <v>64</v>
      </c>
      <c r="E10" s="15">
        <v>4600011008</v>
      </c>
      <c r="F10" s="20" t="s">
        <v>71</v>
      </c>
      <c r="G10" s="20" t="s">
        <v>37</v>
      </c>
      <c r="H10" s="20" t="s">
        <v>72</v>
      </c>
      <c r="I10" s="20" t="s">
        <v>73</v>
      </c>
      <c r="J10" s="20">
        <v>4</v>
      </c>
      <c r="K10" s="25">
        <v>362500</v>
      </c>
      <c r="L10" s="24">
        <v>0</v>
      </c>
      <c r="M10" s="2">
        <v>243067732</v>
      </c>
      <c r="N10" s="2">
        <v>243067732</v>
      </c>
      <c r="O10" s="26">
        <f t="shared" ref="O10" si="11">+SUM(M10+N10)</f>
        <v>486135464</v>
      </c>
      <c r="P10" s="1">
        <v>38905100</v>
      </c>
      <c r="Q10" s="1">
        <v>0</v>
      </c>
      <c r="R10" s="27">
        <f t="shared" ref="R10" si="12">+SUM(O10:Q10)</f>
        <v>525040564</v>
      </c>
      <c r="S10" s="28" t="s">
        <v>40</v>
      </c>
      <c r="T10" s="28" t="s">
        <v>40</v>
      </c>
      <c r="U10" s="29">
        <v>44195</v>
      </c>
      <c r="V10" s="30">
        <v>43962</v>
      </c>
      <c r="W10" s="30">
        <v>44196</v>
      </c>
      <c r="X10" s="31">
        <v>0</v>
      </c>
      <c r="Y10" s="31">
        <v>0</v>
      </c>
      <c r="Z10" s="30">
        <v>44196</v>
      </c>
      <c r="AA10" s="7">
        <f t="shared" ca="1" si="4"/>
        <v>-1959</v>
      </c>
      <c r="AB10" s="25">
        <v>362500</v>
      </c>
      <c r="AC10" s="24">
        <v>0</v>
      </c>
      <c r="AD10" s="2">
        <f>SUM(M10+P10)</f>
        <v>281972832</v>
      </c>
      <c r="AE10" s="2">
        <v>281972832</v>
      </c>
      <c r="AF10" s="32">
        <f t="shared" si="2"/>
        <v>1</v>
      </c>
      <c r="AG10" s="33">
        <f t="shared" ref="AG10" si="13">AE10/AD10</f>
        <v>1</v>
      </c>
      <c r="AH10" s="50" t="s">
        <v>74</v>
      </c>
      <c r="AI10" s="24" t="s">
        <v>42</v>
      </c>
    </row>
    <row r="11" spans="1:35" ht="105" x14ac:dyDescent="0.25">
      <c r="A11" s="3">
        <v>2020</v>
      </c>
      <c r="B11" s="20" t="s">
        <v>34</v>
      </c>
      <c r="C11" s="4" t="s">
        <v>63</v>
      </c>
      <c r="D11" s="20" t="s">
        <v>64</v>
      </c>
      <c r="E11" s="23">
        <v>4600011293</v>
      </c>
      <c r="F11" s="20" t="s">
        <v>75</v>
      </c>
      <c r="G11" s="20" t="s">
        <v>37</v>
      </c>
      <c r="H11" s="20" t="s">
        <v>76</v>
      </c>
      <c r="I11" s="20" t="s">
        <v>77</v>
      </c>
      <c r="J11" s="20">
        <v>2.5</v>
      </c>
      <c r="K11" s="25">
        <v>14400</v>
      </c>
      <c r="L11" s="24">
        <v>0</v>
      </c>
      <c r="M11" s="2">
        <v>18643816</v>
      </c>
      <c r="N11" s="2">
        <v>7990207</v>
      </c>
      <c r="O11" s="26">
        <f t="shared" ref="O11" si="14">+SUM(M11+N11)</f>
        <v>26634023</v>
      </c>
      <c r="P11" s="1">
        <v>0</v>
      </c>
      <c r="Q11" s="1">
        <v>0</v>
      </c>
      <c r="R11" s="27">
        <f t="shared" ref="R11" si="15">+SUM(O11:Q11)</f>
        <v>26634023</v>
      </c>
      <c r="S11" s="28" t="s">
        <v>40</v>
      </c>
      <c r="T11" s="28" t="s">
        <v>40</v>
      </c>
      <c r="U11" s="29">
        <v>44195</v>
      </c>
      <c r="V11" s="30">
        <v>44086</v>
      </c>
      <c r="W11" s="30">
        <v>44196</v>
      </c>
      <c r="X11" s="31">
        <v>0</v>
      </c>
      <c r="Y11" s="31">
        <v>0</v>
      </c>
      <c r="Z11" s="30">
        <v>44196</v>
      </c>
      <c r="AA11" s="7">
        <f t="shared" ca="1" si="4"/>
        <v>-1959</v>
      </c>
      <c r="AB11" s="25">
        <v>14400</v>
      </c>
      <c r="AC11" s="24">
        <v>0</v>
      </c>
      <c r="AD11" s="2">
        <f>SUM(M11+P11)</f>
        <v>18643816</v>
      </c>
      <c r="AE11" s="2">
        <v>18643816</v>
      </c>
      <c r="AF11" s="32">
        <f t="shared" si="2"/>
        <v>1</v>
      </c>
      <c r="AG11" s="33">
        <f t="shared" ref="AG11" si="16">AE11/AD11</f>
        <v>1</v>
      </c>
      <c r="AH11" s="49" t="s">
        <v>70</v>
      </c>
      <c r="AI11" s="24" t="s">
        <v>42</v>
      </c>
    </row>
    <row r="12" spans="1:35" ht="195" x14ac:dyDescent="0.25">
      <c r="A12" s="3">
        <v>2021</v>
      </c>
      <c r="B12" s="20" t="s">
        <v>34</v>
      </c>
      <c r="C12" s="4" t="s">
        <v>63</v>
      </c>
      <c r="D12" s="20" t="s">
        <v>64</v>
      </c>
      <c r="E12" s="23">
        <v>4600012304</v>
      </c>
      <c r="F12" s="20" t="s">
        <v>71</v>
      </c>
      <c r="G12" s="20" t="s">
        <v>37</v>
      </c>
      <c r="H12" s="20" t="s">
        <v>78</v>
      </c>
      <c r="I12" s="20" t="s">
        <v>73</v>
      </c>
      <c r="J12" s="20">
        <v>2.5</v>
      </c>
      <c r="K12" s="25">
        <v>413000</v>
      </c>
      <c r="L12" s="24">
        <v>0</v>
      </c>
      <c r="M12" s="2">
        <v>598500246</v>
      </c>
      <c r="N12" s="2">
        <v>260039119</v>
      </c>
      <c r="O12" s="26">
        <f t="shared" ref="O12" si="17">+SUM(M12+N12)</f>
        <v>858539365</v>
      </c>
      <c r="P12" s="1">
        <v>0</v>
      </c>
      <c r="Q12" s="1">
        <v>0</v>
      </c>
      <c r="R12" s="27">
        <f t="shared" ref="R12" si="18">+SUM(O12:Q12)</f>
        <v>858539365</v>
      </c>
      <c r="S12" s="28" t="s">
        <v>40</v>
      </c>
      <c r="T12" s="28" t="s">
        <v>40</v>
      </c>
      <c r="U12" s="29">
        <v>44195</v>
      </c>
      <c r="V12" s="30">
        <v>44447</v>
      </c>
      <c r="W12" s="30">
        <v>44561</v>
      </c>
      <c r="X12" s="31">
        <v>0</v>
      </c>
      <c r="Y12" s="31">
        <v>0</v>
      </c>
      <c r="Z12" s="30">
        <v>44561</v>
      </c>
      <c r="AA12" s="7">
        <f t="shared" ca="1" si="4"/>
        <v>-1594</v>
      </c>
      <c r="AB12" s="25">
        <v>413000</v>
      </c>
      <c r="AC12" s="24">
        <v>0</v>
      </c>
      <c r="AD12" s="2">
        <f>SUM(M12+P12)</f>
        <v>598500246</v>
      </c>
      <c r="AE12" s="2">
        <v>598500246</v>
      </c>
      <c r="AF12" s="32">
        <f t="shared" si="2"/>
        <v>1</v>
      </c>
      <c r="AG12" s="33">
        <f t="shared" ref="AG12" si="19">AE12/AD12</f>
        <v>1</v>
      </c>
      <c r="AH12" s="49" t="s">
        <v>79</v>
      </c>
      <c r="AI12" s="24" t="s">
        <v>42</v>
      </c>
    </row>
    <row r="13" spans="1:35" ht="135" x14ac:dyDescent="0.25">
      <c r="A13" s="3">
        <v>2021</v>
      </c>
      <c r="B13" s="20" t="s">
        <v>34</v>
      </c>
      <c r="C13" s="4" t="s">
        <v>35</v>
      </c>
      <c r="D13" s="20" t="s">
        <v>49</v>
      </c>
      <c r="E13" s="14">
        <v>4600012889</v>
      </c>
      <c r="F13" s="20" t="s">
        <v>80</v>
      </c>
      <c r="G13" s="20" t="s">
        <v>37</v>
      </c>
      <c r="H13" s="20" t="s">
        <v>81</v>
      </c>
      <c r="I13" s="20" t="s">
        <v>82</v>
      </c>
      <c r="J13" s="20">
        <v>14.2</v>
      </c>
      <c r="K13" s="25">
        <v>1800</v>
      </c>
      <c r="L13" s="24">
        <v>0</v>
      </c>
      <c r="M13" s="2">
        <v>900000000</v>
      </c>
      <c r="N13" s="2">
        <v>1571323133</v>
      </c>
      <c r="O13" s="26">
        <f t="shared" ref="O13:O37" si="20">+SUM(M13+N13)</f>
        <v>2471323133</v>
      </c>
      <c r="P13" s="1">
        <v>0</v>
      </c>
      <c r="Q13" s="1">
        <v>0</v>
      </c>
      <c r="R13" s="27">
        <f t="shared" ref="R13:R37" si="21">+SUM(O13:Q13)</f>
        <v>2471323133</v>
      </c>
      <c r="S13" s="40" t="s">
        <v>40</v>
      </c>
      <c r="T13" s="40" t="s">
        <v>40</v>
      </c>
      <c r="U13" s="29">
        <v>44195</v>
      </c>
      <c r="V13" s="30">
        <v>44529</v>
      </c>
      <c r="W13" s="30">
        <v>44863</v>
      </c>
      <c r="X13" s="31">
        <v>3</v>
      </c>
      <c r="Y13" s="31">
        <v>0</v>
      </c>
      <c r="Z13" s="30">
        <v>44955</v>
      </c>
      <c r="AA13" s="7">
        <f t="shared" ca="1" si="4"/>
        <v>-1200</v>
      </c>
      <c r="AB13" s="25">
        <v>1800</v>
      </c>
      <c r="AC13" s="24">
        <v>0</v>
      </c>
      <c r="AD13" s="1">
        <v>900000000</v>
      </c>
      <c r="AE13" s="1">
        <v>846510994</v>
      </c>
      <c r="AF13" s="32">
        <f t="shared" si="2"/>
        <v>1</v>
      </c>
      <c r="AG13" s="33">
        <f t="shared" ref="AG13:AG37" si="22">AE13/AD13</f>
        <v>0.94056777111111112</v>
      </c>
      <c r="AH13" s="20" t="s">
        <v>83</v>
      </c>
      <c r="AI13" s="24" t="s">
        <v>42</v>
      </c>
    </row>
    <row r="14" spans="1:35" ht="105" x14ac:dyDescent="0.25">
      <c r="A14" s="3">
        <v>2021</v>
      </c>
      <c r="B14" s="20" t="s">
        <v>34</v>
      </c>
      <c r="C14" s="4" t="s">
        <v>35</v>
      </c>
      <c r="D14" s="20" t="s">
        <v>84</v>
      </c>
      <c r="E14" s="15">
        <v>4600013104</v>
      </c>
      <c r="F14" s="20" t="s">
        <v>50</v>
      </c>
      <c r="G14" s="20" t="s">
        <v>37</v>
      </c>
      <c r="H14" s="20" t="s">
        <v>85</v>
      </c>
      <c r="I14" s="20" t="s">
        <v>86</v>
      </c>
      <c r="J14" s="20">
        <v>11</v>
      </c>
      <c r="K14" s="25">
        <v>1433</v>
      </c>
      <c r="L14" s="24">
        <v>0</v>
      </c>
      <c r="M14" s="2">
        <v>1371896924</v>
      </c>
      <c r="N14" s="2">
        <v>500000000</v>
      </c>
      <c r="O14" s="26">
        <f t="shared" si="20"/>
        <v>1871896924</v>
      </c>
      <c r="P14" s="1">
        <v>0</v>
      </c>
      <c r="Q14" s="1">
        <v>0</v>
      </c>
      <c r="R14" s="27">
        <f t="shared" si="21"/>
        <v>1871896924</v>
      </c>
      <c r="S14" s="40" t="s">
        <v>40</v>
      </c>
      <c r="T14" s="40" t="s">
        <v>40</v>
      </c>
      <c r="U14" s="29">
        <v>44195</v>
      </c>
      <c r="V14" s="30">
        <v>44531</v>
      </c>
      <c r="W14" s="30">
        <v>44866</v>
      </c>
      <c r="X14" s="31">
        <v>0</v>
      </c>
      <c r="Y14" s="31">
        <v>0</v>
      </c>
      <c r="Z14" s="30">
        <v>44866</v>
      </c>
      <c r="AA14" s="7">
        <f t="shared" ca="1" si="4"/>
        <v>-1289</v>
      </c>
      <c r="AB14" s="25">
        <v>0</v>
      </c>
      <c r="AC14" s="24">
        <v>0</v>
      </c>
      <c r="AD14" s="2">
        <v>1371896924</v>
      </c>
      <c r="AE14" s="1">
        <v>0</v>
      </c>
      <c r="AF14" s="32">
        <f t="shared" si="2"/>
        <v>0</v>
      </c>
      <c r="AG14" s="33">
        <f t="shared" si="22"/>
        <v>0</v>
      </c>
      <c r="AH14" s="20" t="s">
        <v>87</v>
      </c>
      <c r="AI14" s="24" t="s">
        <v>42</v>
      </c>
    </row>
    <row r="15" spans="1:35" ht="270" x14ac:dyDescent="0.25">
      <c r="A15" s="3">
        <v>2021</v>
      </c>
      <c r="B15" s="20" t="s">
        <v>34</v>
      </c>
      <c r="C15" s="4" t="s">
        <v>54</v>
      </c>
      <c r="D15" s="20" t="s">
        <v>49</v>
      </c>
      <c r="E15" s="35">
        <v>4600012874</v>
      </c>
      <c r="F15" s="20" t="s">
        <v>88</v>
      </c>
      <c r="G15" s="20" t="s">
        <v>37</v>
      </c>
      <c r="H15" s="20" t="s">
        <v>89</v>
      </c>
      <c r="I15" s="20" t="s">
        <v>90</v>
      </c>
      <c r="J15" s="20">
        <v>24.9</v>
      </c>
      <c r="K15" s="25">
        <v>843</v>
      </c>
      <c r="L15" s="24">
        <v>0</v>
      </c>
      <c r="M15" s="2">
        <v>900000000</v>
      </c>
      <c r="N15" s="2">
        <v>900000000</v>
      </c>
      <c r="O15" s="26">
        <f t="shared" si="20"/>
        <v>1800000000</v>
      </c>
      <c r="P15" s="1">
        <v>0</v>
      </c>
      <c r="Q15" s="1">
        <v>0</v>
      </c>
      <c r="R15" s="27">
        <f t="shared" si="21"/>
        <v>1800000000</v>
      </c>
      <c r="S15" s="37" t="s">
        <v>91</v>
      </c>
      <c r="T15" s="37" t="s">
        <v>91</v>
      </c>
      <c r="U15" s="30">
        <v>44511</v>
      </c>
      <c r="V15" s="30">
        <v>44529</v>
      </c>
      <c r="W15" s="30">
        <v>44802</v>
      </c>
      <c r="X15" s="31">
        <v>9</v>
      </c>
      <c r="Y15" s="31">
        <v>7</v>
      </c>
      <c r="Z15" s="30">
        <v>45287</v>
      </c>
      <c r="AA15" s="7">
        <f t="shared" ca="1" si="4"/>
        <v>-868</v>
      </c>
      <c r="AB15" s="25">
        <v>843</v>
      </c>
      <c r="AC15" s="24">
        <v>0</v>
      </c>
      <c r="AD15" s="2">
        <v>900000000</v>
      </c>
      <c r="AE15" s="1">
        <v>777173600</v>
      </c>
      <c r="AF15" s="33">
        <f t="shared" si="2"/>
        <v>1</v>
      </c>
      <c r="AG15" s="33">
        <f t="shared" si="22"/>
        <v>0.8635262222222222</v>
      </c>
      <c r="AH15" s="20" t="s">
        <v>92</v>
      </c>
      <c r="AI15" s="24" t="s">
        <v>42</v>
      </c>
    </row>
    <row r="16" spans="1:35" ht="90" x14ac:dyDescent="0.25">
      <c r="A16" s="3">
        <v>2021</v>
      </c>
      <c r="B16" s="20" t="s">
        <v>34</v>
      </c>
      <c r="C16" s="4" t="s">
        <v>54</v>
      </c>
      <c r="D16" s="20" t="s">
        <v>93</v>
      </c>
      <c r="E16" s="14" t="s">
        <v>94</v>
      </c>
      <c r="F16" s="20" t="s">
        <v>80</v>
      </c>
      <c r="G16" s="20" t="s">
        <v>37</v>
      </c>
      <c r="H16" s="20" t="s">
        <v>95</v>
      </c>
      <c r="I16" s="20" t="s">
        <v>96</v>
      </c>
      <c r="J16" s="20">
        <v>9.6999999999999993</v>
      </c>
      <c r="K16" s="25">
        <v>342</v>
      </c>
      <c r="L16" s="24">
        <v>0</v>
      </c>
      <c r="M16" s="2">
        <v>61810758</v>
      </c>
      <c r="N16" s="2">
        <v>0</v>
      </c>
      <c r="O16" s="26">
        <f t="shared" si="20"/>
        <v>61810758</v>
      </c>
      <c r="P16" s="1">
        <v>0</v>
      </c>
      <c r="Q16" s="1">
        <v>0</v>
      </c>
      <c r="R16" s="27">
        <f t="shared" si="21"/>
        <v>61810758</v>
      </c>
      <c r="S16" s="40" t="s">
        <v>40</v>
      </c>
      <c r="T16" s="40" t="s">
        <v>40</v>
      </c>
      <c r="U16" s="29">
        <v>44447</v>
      </c>
      <c r="V16" s="30">
        <v>44447</v>
      </c>
      <c r="W16" s="30">
        <v>44561</v>
      </c>
      <c r="X16" s="31">
        <v>6</v>
      </c>
      <c r="Y16" s="31">
        <v>0</v>
      </c>
      <c r="Z16" s="30">
        <v>44742</v>
      </c>
      <c r="AA16" s="7">
        <f t="shared" ca="1" si="4"/>
        <v>-1413</v>
      </c>
      <c r="AB16" s="25">
        <v>0</v>
      </c>
      <c r="AC16" s="24">
        <v>0</v>
      </c>
      <c r="AD16" s="2">
        <v>61418758</v>
      </c>
      <c r="AE16" s="1">
        <v>0</v>
      </c>
      <c r="AF16" s="33">
        <f t="shared" si="2"/>
        <v>0</v>
      </c>
      <c r="AG16" s="33">
        <f t="shared" si="22"/>
        <v>0</v>
      </c>
      <c r="AH16" s="20" t="s">
        <v>97</v>
      </c>
      <c r="AI16" s="24" t="s">
        <v>42</v>
      </c>
    </row>
    <row r="17" spans="1:35" ht="156" customHeight="1" x14ac:dyDescent="0.25">
      <c r="A17" s="3">
        <v>2021</v>
      </c>
      <c r="B17" s="20" t="s">
        <v>34</v>
      </c>
      <c r="C17" s="4" t="s">
        <v>35</v>
      </c>
      <c r="D17" s="20" t="s">
        <v>93</v>
      </c>
      <c r="E17" s="14" t="s">
        <v>98</v>
      </c>
      <c r="F17" s="20" t="s">
        <v>59</v>
      </c>
      <c r="G17" s="20" t="s">
        <v>37</v>
      </c>
      <c r="H17" s="20" t="s">
        <v>99</v>
      </c>
      <c r="I17" s="20" t="s">
        <v>100</v>
      </c>
      <c r="J17" s="20">
        <v>11</v>
      </c>
      <c r="K17" s="25">
        <v>1500</v>
      </c>
      <c r="L17" s="24">
        <v>0</v>
      </c>
      <c r="M17" s="2">
        <v>379635504</v>
      </c>
      <c r="N17" s="2">
        <v>0</v>
      </c>
      <c r="O17" s="26">
        <f t="shared" si="20"/>
        <v>379635504</v>
      </c>
      <c r="P17" s="1">
        <v>0</v>
      </c>
      <c r="Q17" s="1">
        <v>0</v>
      </c>
      <c r="R17" s="27">
        <f t="shared" si="21"/>
        <v>379635504</v>
      </c>
      <c r="S17" s="40" t="s">
        <v>40</v>
      </c>
      <c r="T17" s="40" t="s">
        <v>40</v>
      </c>
      <c r="U17" s="39">
        <v>44406</v>
      </c>
      <c r="V17" s="38">
        <v>44406</v>
      </c>
      <c r="W17" s="38">
        <v>44561</v>
      </c>
      <c r="X17" s="31">
        <v>6</v>
      </c>
      <c r="Y17" s="31">
        <v>0</v>
      </c>
      <c r="Z17" s="30">
        <v>44742</v>
      </c>
      <c r="AA17" s="7">
        <f t="shared" ca="1" si="4"/>
        <v>-1413</v>
      </c>
      <c r="AB17" s="25">
        <v>1500</v>
      </c>
      <c r="AC17" s="24">
        <v>0</v>
      </c>
      <c r="AD17" s="2">
        <v>379635504</v>
      </c>
      <c r="AE17" s="1">
        <v>379635504</v>
      </c>
      <c r="AF17" s="33">
        <f t="shared" si="2"/>
        <v>1</v>
      </c>
      <c r="AG17" s="33">
        <f t="shared" si="22"/>
        <v>1</v>
      </c>
      <c r="AH17" s="20" t="s">
        <v>101</v>
      </c>
      <c r="AI17" s="24" t="s">
        <v>42</v>
      </c>
    </row>
    <row r="18" spans="1:35" ht="75" x14ac:dyDescent="0.25">
      <c r="A18" s="3">
        <v>2021</v>
      </c>
      <c r="B18" s="20" t="s">
        <v>34</v>
      </c>
      <c r="C18" s="4" t="s">
        <v>35</v>
      </c>
      <c r="D18" s="20" t="s">
        <v>93</v>
      </c>
      <c r="E18" s="14" t="s">
        <v>102</v>
      </c>
      <c r="F18" s="20" t="s">
        <v>45</v>
      </c>
      <c r="G18" s="20" t="s">
        <v>37</v>
      </c>
      <c r="H18" s="20" t="s">
        <v>103</v>
      </c>
      <c r="I18" s="20" t="s">
        <v>104</v>
      </c>
      <c r="J18" s="20">
        <v>10.8</v>
      </c>
      <c r="K18" s="25">
        <v>375</v>
      </c>
      <c r="L18" s="24">
        <v>0</v>
      </c>
      <c r="M18" s="2">
        <v>94909110</v>
      </c>
      <c r="N18" s="2">
        <v>0</v>
      </c>
      <c r="O18" s="26">
        <f t="shared" si="20"/>
        <v>94909110</v>
      </c>
      <c r="P18" s="1">
        <v>0</v>
      </c>
      <c r="Q18" s="1">
        <v>0</v>
      </c>
      <c r="R18" s="27">
        <f t="shared" si="21"/>
        <v>94909110</v>
      </c>
      <c r="S18" s="40" t="s">
        <v>40</v>
      </c>
      <c r="T18" s="40" t="s">
        <v>40</v>
      </c>
      <c r="U18" s="39">
        <v>44412</v>
      </c>
      <c r="V18" s="38">
        <v>44412</v>
      </c>
      <c r="W18" s="38">
        <v>44561</v>
      </c>
      <c r="X18" s="31">
        <v>6</v>
      </c>
      <c r="Y18" s="31">
        <v>0</v>
      </c>
      <c r="Z18" s="30">
        <v>44742</v>
      </c>
      <c r="AA18" s="7">
        <f t="shared" ca="1" si="4"/>
        <v>-1413</v>
      </c>
      <c r="AB18" s="25">
        <v>375</v>
      </c>
      <c r="AC18" s="24">
        <v>0</v>
      </c>
      <c r="AD18" s="2">
        <v>94909110</v>
      </c>
      <c r="AE18" s="2">
        <v>94909110</v>
      </c>
      <c r="AF18" s="33">
        <f t="shared" si="2"/>
        <v>1</v>
      </c>
      <c r="AG18" s="33">
        <f t="shared" si="22"/>
        <v>1</v>
      </c>
      <c r="AH18" s="20" t="s">
        <v>105</v>
      </c>
      <c r="AI18" s="24" t="s">
        <v>42</v>
      </c>
    </row>
    <row r="19" spans="1:35" ht="75" x14ac:dyDescent="0.25">
      <c r="A19" s="3">
        <v>2021</v>
      </c>
      <c r="B19" s="20" t="s">
        <v>34</v>
      </c>
      <c r="C19" s="4" t="s">
        <v>54</v>
      </c>
      <c r="D19" s="20" t="s">
        <v>93</v>
      </c>
      <c r="E19" s="14" t="s">
        <v>106</v>
      </c>
      <c r="F19" s="20" t="s">
        <v>59</v>
      </c>
      <c r="G19" s="20" t="s">
        <v>37</v>
      </c>
      <c r="H19" s="20" t="s">
        <v>107</v>
      </c>
      <c r="I19" s="20" t="s">
        <v>108</v>
      </c>
      <c r="J19" s="20">
        <v>11</v>
      </c>
      <c r="K19" s="25">
        <v>1000</v>
      </c>
      <c r="L19" s="24">
        <v>0</v>
      </c>
      <c r="M19" s="2">
        <v>235353776</v>
      </c>
      <c r="N19" s="2">
        <v>0</v>
      </c>
      <c r="O19" s="26">
        <f t="shared" si="20"/>
        <v>235353776</v>
      </c>
      <c r="P19" s="1">
        <v>0</v>
      </c>
      <c r="Q19" s="1">
        <v>0</v>
      </c>
      <c r="R19" s="27">
        <f t="shared" si="21"/>
        <v>235353776</v>
      </c>
      <c r="S19" s="40" t="s">
        <v>40</v>
      </c>
      <c r="T19" s="40" t="s">
        <v>40</v>
      </c>
      <c r="U19" s="39">
        <v>44412</v>
      </c>
      <c r="V19" s="38">
        <v>44406</v>
      </c>
      <c r="W19" s="38">
        <v>44561</v>
      </c>
      <c r="X19" s="31">
        <v>6</v>
      </c>
      <c r="Y19" s="31">
        <v>0</v>
      </c>
      <c r="Z19" s="30">
        <v>44742</v>
      </c>
      <c r="AA19" s="7">
        <f t="shared" ca="1" si="4"/>
        <v>-1413</v>
      </c>
      <c r="AB19" s="25">
        <v>1000</v>
      </c>
      <c r="AC19" s="24">
        <v>0</v>
      </c>
      <c r="AD19" s="2">
        <v>235353776</v>
      </c>
      <c r="AE19" s="2">
        <v>235353776</v>
      </c>
      <c r="AF19" s="33">
        <f t="shared" si="2"/>
        <v>1</v>
      </c>
      <c r="AG19" s="33">
        <f t="shared" si="22"/>
        <v>1</v>
      </c>
      <c r="AH19" s="20" t="s">
        <v>109</v>
      </c>
      <c r="AI19" s="24" t="s">
        <v>42</v>
      </c>
    </row>
    <row r="20" spans="1:35" ht="120" x14ac:dyDescent="0.25">
      <c r="A20" s="3">
        <v>2021</v>
      </c>
      <c r="B20" s="20" t="s">
        <v>34</v>
      </c>
      <c r="C20" s="4" t="s">
        <v>35</v>
      </c>
      <c r="D20" s="20" t="s">
        <v>93</v>
      </c>
      <c r="E20" s="15" t="s">
        <v>110</v>
      </c>
      <c r="F20" s="20" t="s">
        <v>36</v>
      </c>
      <c r="G20" s="20" t="s">
        <v>37</v>
      </c>
      <c r="H20" s="20" t="s">
        <v>111</v>
      </c>
      <c r="I20" s="20" t="s">
        <v>112</v>
      </c>
      <c r="J20" s="20">
        <v>11</v>
      </c>
      <c r="K20" s="25">
        <v>3000</v>
      </c>
      <c r="L20" s="24">
        <v>0</v>
      </c>
      <c r="M20" s="2">
        <v>759271008</v>
      </c>
      <c r="N20" s="2">
        <v>0</v>
      </c>
      <c r="O20" s="26">
        <f t="shared" si="20"/>
        <v>759271008</v>
      </c>
      <c r="P20" s="1">
        <v>0</v>
      </c>
      <c r="Q20" s="1">
        <v>0</v>
      </c>
      <c r="R20" s="27">
        <f t="shared" si="21"/>
        <v>759271008</v>
      </c>
      <c r="S20" s="41" t="s">
        <v>40</v>
      </c>
      <c r="T20" s="41" t="s">
        <v>40</v>
      </c>
      <c r="U20" s="39">
        <v>44406</v>
      </c>
      <c r="V20" s="38">
        <v>44406</v>
      </c>
      <c r="W20" s="38">
        <v>44561</v>
      </c>
      <c r="X20" s="31">
        <v>6</v>
      </c>
      <c r="Y20" s="31">
        <v>0</v>
      </c>
      <c r="Z20" s="30">
        <v>44742</v>
      </c>
      <c r="AA20" s="7">
        <f t="shared" ca="1" si="4"/>
        <v>-1413</v>
      </c>
      <c r="AB20" s="25">
        <v>1658</v>
      </c>
      <c r="AC20" s="24">
        <v>0</v>
      </c>
      <c r="AD20" s="2">
        <v>759271008</v>
      </c>
      <c r="AE20" s="2">
        <v>548437472</v>
      </c>
      <c r="AF20" s="33">
        <f t="shared" si="2"/>
        <v>0.55266666666666664</v>
      </c>
      <c r="AG20" s="33">
        <f t="shared" si="22"/>
        <v>0.72232110303360875</v>
      </c>
      <c r="AH20" s="20" t="s">
        <v>113</v>
      </c>
      <c r="AI20" s="24" t="s">
        <v>42</v>
      </c>
    </row>
    <row r="21" spans="1:35" ht="75" x14ac:dyDescent="0.25">
      <c r="A21" s="3">
        <v>2021</v>
      </c>
      <c r="B21" s="20" t="s">
        <v>34</v>
      </c>
      <c r="C21" s="4" t="s">
        <v>54</v>
      </c>
      <c r="D21" s="20" t="s">
        <v>93</v>
      </c>
      <c r="E21" s="42" t="s">
        <v>114</v>
      </c>
      <c r="F21" s="20" t="s">
        <v>115</v>
      </c>
      <c r="G21" s="20" t="s">
        <v>37</v>
      </c>
      <c r="H21" s="20" t="s">
        <v>116</v>
      </c>
      <c r="I21" s="20" t="s">
        <v>117</v>
      </c>
      <c r="J21" s="20">
        <v>5.0999999999999996</v>
      </c>
      <c r="K21" s="25">
        <v>400</v>
      </c>
      <c r="L21" s="24">
        <v>0</v>
      </c>
      <c r="M21" s="2">
        <v>94174110</v>
      </c>
      <c r="N21" s="2">
        <v>0</v>
      </c>
      <c r="O21" s="26">
        <f t="shared" si="20"/>
        <v>94174110</v>
      </c>
      <c r="P21" s="1">
        <v>0</v>
      </c>
      <c r="Q21" s="1">
        <v>0</v>
      </c>
      <c r="R21" s="27">
        <f t="shared" si="21"/>
        <v>94174110</v>
      </c>
      <c r="S21" s="40" t="s">
        <v>40</v>
      </c>
      <c r="T21" s="40" t="s">
        <v>40</v>
      </c>
      <c r="U21" s="39">
        <v>44406</v>
      </c>
      <c r="V21" s="38">
        <v>44406</v>
      </c>
      <c r="W21" s="38">
        <v>44561</v>
      </c>
      <c r="X21" s="31">
        <v>0</v>
      </c>
      <c r="Y21" s="31">
        <v>0</v>
      </c>
      <c r="Z21" s="38">
        <v>44561</v>
      </c>
      <c r="AA21" s="7">
        <f t="shared" ca="1" si="4"/>
        <v>-1594</v>
      </c>
      <c r="AB21" s="25">
        <v>400</v>
      </c>
      <c r="AC21" s="24">
        <v>0</v>
      </c>
      <c r="AD21" s="2">
        <v>94174110</v>
      </c>
      <c r="AE21" s="2">
        <v>86863681</v>
      </c>
      <c r="AF21" s="33">
        <f t="shared" si="2"/>
        <v>1</v>
      </c>
      <c r="AG21" s="33">
        <f t="shared" si="22"/>
        <v>0.92237326161086097</v>
      </c>
      <c r="AH21" s="20" t="s">
        <v>118</v>
      </c>
      <c r="AI21" s="24" t="s">
        <v>42</v>
      </c>
    </row>
    <row r="22" spans="1:35" ht="315" x14ac:dyDescent="0.25">
      <c r="A22" s="3">
        <v>2021</v>
      </c>
      <c r="B22" s="20" t="s">
        <v>34</v>
      </c>
      <c r="C22" s="4" t="s">
        <v>54</v>
      </c>
      <c r="D22" s="20" t="s">
        <v>93</v>
      </c>
      <c r="E22" s="42" t="s">
        <v>119</v>
      </c>
      <c r="F22" s="20" t="s">
        <v>120</v>
      </c>
      <c r="G22" s="20" t="s">
        <v>37</v>
      </c>
      <c r="H22" s="20" t="s">
        <v>121</v>
      </c>
      <c r="I22" s="20" t="s">
        <v>122</v>
      </c>
      <c r="J22" s="20">
        <v>11.1</v>
      </c>
      <c r="K22" s="25">
        <v>816</v>
      </c>
      <c r="L22" s="24">
        <v>0</v>
      </c>
      <c r="M22" s="2">
        <v>192030504</v>
      </c>
      <c r="N22" s="2">
        <v>0</v>
      </c>
      <c r="O22" s="26">
        <f t="shared" si="20"/>
        <v>192030504</v>
      </c>
      <c r="P22" s="1">
        <v>0</v>
      </c>
      <c r="Q22" s="1">
        <v>0</v>
      </c>
      <c r="R22" s="27">
        <f t="shared" si="21"/>
        <v>192030504</v>
      </c>
      <c r="S22" s="40" t="s">
        <v>40</v>
      </c>
      <c r="T22" s="40" t="s">
        <v>40</v>
      </c>
      <c r="U22" s="39">
        <v>44406</v>
      </c>
      <c r="V22" s="38">
        <v>44405</v>
      </c>
      <c r="W22" s="38">
        <v>44561</v>
      </c>
      <c r="X22" s="31">
        <v>0</v>
      </c>
      <c r="Y22" s="31">
        <v>0</v>
      </c>
      <c r="Z22" s="38">
        <v>44561</v>
      </c>
      <c r="AA22" s="7">
        <f t="shared" ca="1" si="4"/>
        <v>-1594</v>
      </c>
      <c r="AB22" s="25">
        <v>816</v>
      </c>
      <c r="AC22" s="24">
        <v>0</v>
      </c>
      <c r="AD22" s="2">
        <v>192030504</v>
      </c>
      <c r="AE22" s="2">
        <v>192030504</v>
      </c>
      <c r="AF22" s="33">
        <f t="shared" si="2"/>
        <v>1</v>
      </c>
      <c r="AG22" s="33">
        <f t="shared" si="22"/>
        <v>1</v>
      </c>
      <c r="AH22" s="20" t="s">
        <v>118</v>
      </c>
      <c r="AI22" s="24" t="s">
        <v>42</v>
      </c>
    </row>
    <row r="23" spans="1:35" ht="90" x14ac:dyDescent="0.25">
      <c r="A23" s="3">
        <v>2021</v>
      </c>
      <c r="B23" s="20" t="s">
        <v>34</v>
      </c>
      <c r="C23" s="4" t="s">
        <v>35</v>
      </c>
      <c r="D23" s="20" t="s">
        <v>49</v>
      </c>
      <c r="E23" s="42" t="s">
        <v>123</v>
      </c>
      <c r="F23" s="20" t="s">
        <v>115</v>
      </c>
      <c r="G23" s="20" t="s">
        <v>37</v>
      </c>
      <c r="H23" s="20" t="s">
        <v>124</v>
      </c>
      <c r="I23" s="20" t="s">
        <v>125</v>
      </c>
      <c r="J23" s="20">
        <v>14.5</v>
      </c>
      <c r="K23" s="25">
        <v>1500</v>
      </c>
      <c r="L23" s="24">
        <v>0</v>
      </c>
      <c r="M23" s="2">
        <v>900000000</v>
      </c>
      <c r="N23" s="2">
        <v>1083410944</v>
      </c>
      <c r="O23" s="26">
        <f t="shared" si="20"/>
        <v>1983410944</v>
      </c>
      <c r="P23" s="1">
        <v>0</v>
      </c>
      <c r="Q23" s="1">
        <v>0</v>
      </c>
      <c r="R23" s="27">
        <f t="shared" si="21"/>
        <v>1983410944</v>
      </c>
      <c r="S23" s="40" t="s">
        <v>40</v>
      </c>
      <c r="T23" s="40" t="s">
        <v>40</v>
      </c>
      <c r="U23" s="39">
        <v>44406</v>
      </c>
      <c r="V23" s="38">
        <v>44483</v>
      </c>
      <c r="W23" s="38">
        <v>44787</v>
      </c>
      <c r="X23" s="43">
        <v>4.5</v>
      </c>
      <c r="Y23" s="31">
        <v>0</v>
      </c>
      <c r="Z23" s="38">
        <v>44925</v>
      </c>
      <c r="AA23" s="7">
        <f t="shared" ca="1" si="4"/>
        <v>-1230</v>
      </c>
      <c r="AB23" s="25">
        <v>1351</v>
      </c>
      <c r="AC23" s="24">
        <v>0</v>
      </c>
      <c r="AD23" s="2">
        <v>900000000</v>
      </c>
      <c r="AE23" s="2">
        <v>790162736</v>
      </c>
      <c r="AF23" s="33">
        <f t="shared" si="2"/>
        <v>0.90066666666666662</v>
      </c>
      <c r="AG23" s="33">
        <f t="shared" si="22"/>
        <v>0.87795859555555555</v>
      </c>
      <c r="AH23" s="20" t="s">
        <v>126</v>
      </c>
      <c r="AI23" s="24" t="s">
        <v>42</v>
      </c>
    </row>
    <row r="24" spans="1:35" ht="120" x14ac:dyDescent="0.25">
      <c r="A24" s="3">
        <v>2021</v>
      </c>
      <c r="B24" s="20" t="s">
        <v>34</v>
      </c>
      <c r="C24" s="4" t="s">
        <v>54</v>
      </c>
      <c r="D24" s="20" t="s">
        <v>49</v>
      </c>
      <c r="E24" s="45">
        <v>4600012381</v>
      </c>
      <c r="F24" s="20" t="s">
        <v>45</v>
      </c>
      <c r="G24" s="20" t="s">
        <v>37</v>
      </c>
      <c r="H24" s="20" t="s">
        <v>127</v>
      </c>
      <c r="I24" s="20" t="s">
        <v>128</v>
      </c>
      <c r="J24" s="20">
        <v>8</v>
      </c>
      <c r="K24" s="25">
        <v>810</v>
      </c>
      <c r="L24" s="24">
        <v>0</v>
      </c>
      <c r="M24" s="2">
        <v>659389096</v>
      </c>
      <c r="N24" s="2">
        <v>659389096</v>
      </c>
      <c r="O24" s="26">
        <f t="shared" si="20"/>
        <v>1318778192</v>
      </c>
      <c r="P24" s="1">
        <v>0</v>
      </c>
      <c r="Q24" s="1">
        <v>0</v>
      </c>
      <c r="R24" s="27">
        <f t="shared" si="21"/>
        <v>1318778192</v>
      </c>
      <c r="S24" s="44" t="s">
        <v>129</v>
      </c>
      <c r="T24" s="44" t="s">
        <v>129</v>
      </c>
      <c r="U24" s="39">
        <v>44406</v>
      </c>
      <c r="V24" s="38">
        <v>44483</v>
      </c>
      <c r="W24" s="38">
        <v>44726</v>
      </c>
      <c r="X24" s="31">
        <v>48</v>
      </c>
      <c r="Y24" s="31">
        <v>0</v>
      </c>
      <c r="Z24" s="38">
        <v>46188</v>
      </c>
      <c r="AA24" s="7">
        <f t="shared" ca="1" si="4"/>
        <v>33</v>
      </c>
      <c r="AB24" s="25">
        <v>0</v>
      </c>
      <c r="AC24" s="24">
        <v>0</v>
      </c>
      <c r="AD24" s="2">
        <v>659389096</v>
      </c>
      <c r="AE24" s="2">
        <v>0</v>
      </c>
      <c r="AF24" s="33">
        <f t="shared" si="2"/>
        <v>0</v>
      </c>
      <c r="AG24" s="33">
        <f t="shared" si="22"/>
        <v>0</v>
      </c>
      <c r="AH24" s="20" t="s">
        <v>130</v>
      </c>
      <c r="AI24" s="24" t="s">
        <v>42</v>
      </c>
    </row>
    <row r="25" spans="1:35" ht="90" x14ac:dyDescent="0.25">
      <c r="A25" s="3">
        <v>2021</v>
      </c>
      <c r="B25" s="20" t="s">
        <v>34</v>
      </c>
      <c r="C25" s="4" t="s">
        <v>54</v>
      </c>
      <c r="D25" s="20" t="s">
        <v>49</v>
      </c>
      <c r="E25" s="15">
        <v>4600012468</v>
      </c>
      <c r="F25" s="20" t="s">
        <v>120</v>
      </c>
      <c r="G25" s="20" t="s">
        <v>37</v>
      </c>
      <c r="H25" s="20" t="s">
        <v>131</v>
      </c>
      <c r="I25" s="20" t="s">
        <v>132</v>
      </c>
      <c r="J25" s="20">
        <v>10</v>
      </c>
      <c r="K25" s="25">
        <v>532</v>
      </c>
      <c r="L25" s="24">
        <v>0</v>
      </c>
      <c r="M25" s="2">
        <v>771582379</v>
      </c>
      <c r="N25" s="2">
        <v>771582380</v>
      </c>
      <c r="O25" s="26">
        <f t="shared" si="20"/>
        <v>1543164759</v>
      </c>
      <c r="P25" s="1">
        <v>0</v>
      </c>
      <c r="Q25" s="1">
        <v>0</v>
      </c>
      <c r="R25" s="27">
        <f t="shared" si="21"/>
        <v>1543164759</v>
      </c>
      <c r="S25" s="41" t="s">
        <v>40</v>
      </c>
      <c r="T25" s="41" t="s">
        <v>40</v>
      </c>
      <c r="U25" s="39">
        <v>44406</v>
      </c>
      <c r="V25" s="38">
        <v>44530</v>
      </c>
      <c r="W25" s="38">
        <v>44834</v>
      </c>
      <c r="X25" s="31">
        <v>0</v>
      </c>
      <c r="Y25" s="31">
        <v>0</v>
      </c>
      <c r="Z25" s="38">
        <v>44834</v>
      </c>
      <c r="AA25" s="7">
        <f t="shared" ca="1" si="4"/>
        <v>-1321</v>
      </c>
      <c r="AB25" s="25">
        <v>0</v>
      </c>
      <c r="AC25" s="24">
        <v>0</v>
      </c>
      <c r="AD25" s="2">
        <v>771582379</v>
      </c>
      <c r="AE25" s="46">
        <v>692470244.84000003</v>
      </c>
      <c r="AF25" s="33">
        <f t="shared" si="2"/>
        <v>0</v>
      </c>
      <c r="AG25" s="33">
        <f t="shared" si="22"/>
        <v>0.89746767640996117</v>
      </c>
      <c r="AH25" s="20" t="s">
        <v>133</v>
      </c>
      <c r="AI25" s="24" t="s">
        <v>42</v>
      </c>
    </row>
    <row r="26" spans="1:35" ht="120" x14ac:dyDescent="0.25">
      <c r="A26" s="3">
        <v>2022</v>
      </c>
      <c r="B26" s="20" t="s">
        <v>34</v>
      </c>
      <c r="C26" s="4" t="s">
        <v>54</v>
      </c>
      <c r="D26" s="20" t="s">
        <v>93</v>
      </c>
      <c r="E26" s="42" t="s">
        <v>134</v>
      </c>
      <c r="F26" s="20" t="s">
        <v>135</v>
      </c>
      <c r="G26" s="20" t="s">
        <v>37</v>
      </c>
      <c r="H26" s="20" t="s">
        <v>136</v>
      </c>
      <c r="I26" s="20" t="s">
        <v>137</v>
      </c>
      <c r="J26" s="20">
        <v>2</v>
      </c>
      <c r="K26" s="25">
        <v>350</v>
      </c>
      <c r="L26" s="24">
        <v>0</v>
      </c>
      <c r="M26" s="2">
        <v>89937125</v>
      </c>
      <c r="N26" s="2">
        <v>0</v>
      </c>
      <c r="O26" s="26">
        <f t="shared" si="20"/>
        <v>89937125</v>
      </c>
      <c r="P26" s="1">
        <v>0</v>
      </c>
      <c r="Q26" s="1">
        <v>0</v>
      </c>
      <c r="R26" s="27">
        <f t="shared" si="21"/>
        <v>89937125</v>
      </c>
      <c r="S26" s="40" t="s">
        <v>138</v>
      </c>
      <c r="T26" s="40" t="s">
        <v>138</v>
      </c>
      <c r="U26" s="39">
        <v>44406</v>
      </c>
      <c r="V26" s="38">
        <v>44834</v>
      </c>
      <c r="W26" s="38">
        <v>44895</v>
      </c>
      <c r="X26" s="31">
        <v>0</v>
      </c>
      <c r="Y26" s="31">
        <v>0</v>
      </c>
      <c r="Z26" s="38">
        <v>44895</v>
      </c>
      <c r="AA26" s="7">
        <f t="shared" ca="1" si="4"/>
        <v>-1260</v>
      </c>
      <c r="AB26" s="36">
        <v>0</v>
      </c>
      <c r="AC26" s="24">
        <v>0</v>
      </c>
      <c r="AD26" s="2">
        <v>89937125</v>
      </c>
      <c r="AE26" s="2">
        <v>0</v>
      </c>
      <c r="AF26" s="33">
        <f t="shared" si="2"/>
        <v>0</v>
      </c>
      <c r="AG26" s="33">
        <f t="shared" si="22"/>
        <v>0</v>
      </c>
      <c r="AH26" s="20" t="s">
        <v>139</v>
      </c>
      <c r="AI26" s="24" t="s">
        <v>140</v>
      </c>
    </row>
    <row r="27" spans="1:35" ht="75" x14ac:dyDescent="0.25">
      <c r="A27" s="3">
        <v>2022</v>
      </c>
      <c r="B27" s="20" t="s">
        <v>34</v>
      </c>
      <c r="C27" s="4" t="s">
        <v>54</v>
      </c>
      <c r="D27" s="20" t="s">
        <v>93</v>
      </c>
      <c r="E27" s="42" t="s">
        <v>141</v>
      </c>
      <c r="F27" s="20" t="s">
        <v>55</v>
      </c>
      <c r="G27" s="20" t="s">
        <v>37</v>
      </c>
      <c r="H27" s="20" t="s">
        <v>142</v>
      </c>
      <c r="I27" s="20" t="s">
        <v>143</v>
      </c>
      <c r="J27" s="20">
        <v>0.8</v>
      </c>
      <c r="K27" s="25">
        <v>125</v>
      </c>
      <c r="L27" s="24">
        <v>0</v>
      </c>
      <c r="M27" s="2">
        <v>36056214</v>
      </c>
      <c r="N27" s="2">
        <v>0</v>
      </c>
      <c r="O27" s="26">
        <f t="shared" si="20"/>
        <v>36056214</v>
      </c>
      <c r="P27" s="1">
        <v>0</v>
      </c>
      <c r="Q27" s="1">
        <v>0</v>
      </c>
      <c r="R27" s="27">
        <f t="shared" si="21"/>
        <v>36056214</v>
      </c>
      <c r="S27" s="40" t="s">
        <v>40</v>
      </c>
      <c r="T27" s="40" t="s">
        <v>40</v>
      </c>
      <c r="U27" s="39">
        <v>44406</v>
      </c>
      <c r="V27" s="38">
        <v>44869</v>
      </c>
      <c r="W27" s="38">
        <v>44895</v>
      </c>
      <c r="X27" s="31">
        <v>0</v>
      </c>
      <c r="Y27" s="31">
        <v>0</v>
      </c>
      <c r="Z27" s="38">
        <v>44895</v>
      </c>
      <c r="AA27" s="7">
        <f t="shared" ca="1" si="4"/>
        <v>-1260</v>
      </c>
      <c r="AB27" s="25">
        <v>125</v>
      </c>
      <c r="AC27" s="24">
        <v>0</v>
      </c>
      <c r="AD27" s="2">
        <v>36056214</v>
      </c>
      <c r="AE27" s="2">
        <v>0</v>
      </c>
      <c r="AF27" s="33">
        <f t="shared" si="2"/>
        <v>1</v>
      </c>
      <c r="AG27" s="33">
        <f t="shared" si="22"/>
        <v>0</v>
      </c>
      <c r="AH27" s="20" t="s">
        <v>144</v>
      </c>
      <c r="AI27" s="24" t="s">
        <v>42</v>
      </c>
    </row>
    <row r="28" spans="1:35" ht="113.25" customHeight="1" x14ac:dyDescent="0.25">
      <c r="A28" s="3">
        <v>2022</v>
      </c>
      <c r="B28" s="20" t="s">
        <v>34</v>
      </c>
      <c r="C28" s="4" t="s">
        <v>35</v>
      </c>
      <c r="D28" s="20" t="s">
        <v>93</v>
      </c>
      <c r="E28" s="35" t="s">
        <v>145</v>
      </c>
      <c r="F28" s="20" t="s">
        <v>50</v>
      </c>
      <c r="G28" s="20" t="s">
        <v>37</v>
      </c>
      <c r="H28" s="20" t="s">
        <v>146</v>
      </c>
      <c r="I28" s="20" t="s">
        <v>147</v>
      </c>
      <c r="J28" s="20">
        <v>11</v>
      </c>
      <c r="K28" s="25">
        <v>700</v>
      </c>
      <c r="L28" s="24">
        <v>0</v>
      </c>
      <c r="M28" s="2">
        <v>209376357</v>
      </c>
      <c r="N28" s="2">
        <v>0</v>
      </c>
      <c r="O28" s="26">
        <f t="shared" si="20"/>
        <v>209376357</v>
      </c>
      <c r="P28" s="1">
        <v>0</v>
      </c>
      <c r="Q28" s="1">
        <v>0</v>
      </c>
      <c r="R28" s="27">
        <f t="shared" si="21"/>
        <v>209376357</v>
      </c>
      <c r="S28" s="37" t="s">
        <v>91</v>
      </c>
      <c r="T28" s="37" t="s">
        <v>91</v>
      </c>
      <c r="U28" s="39">
        <v>44406</v>
      </c>
      <c r="V28" s="38">
        <v>44929</v>
      </c>
      <c r="W28" s="38">
        <v>45172</v>
      </c>
      <c r="X28" s="31">
        <v>0</v>
      </c>
      <c r="Y28" s="31">
        <v>0</v>
      </c>
      <c r="Z28" s="38">
        <v>45172</v>
      </c>
      <c r="AA28" s="7">
        <f t="shared" ca="1" si="4"/>
        <v>-983</v>
      </c>
      <c r="AB28" s="25">
        <v>700</v>
      </c>
      <c r="AC28" s="24">
        <v>0</v>
      </c>
      <c r="AD28" s="2">
        <v>209376357</v>
      </c>
      <c r="AE28" s="2">
        <v>209359545</v>
      </c>
      <c r="AF28" s="33">
        <f t="shared" si="2"/>
        <v>1</v>
      </c>
      <c r="AG28" s="33">
        <f t="shared" si="22"/>
        <v>0.99991970440100841</v>
      </c>
      <c r="AH28" s="20" t="s">
        <v>148</v>
      </c>
      <c r="AI28" s="24" t="s">
        <v>42</v>
      </c>
    </row>
    <row r="29" spans="1:35" ht="180" x14ac:dyDescent="0.25">
      <c r="A29" s="3">
        <v>2023</v>
      </c>
      <c r="B29" s="20" t="s">
        <v>34</v>
      </c>
      <c r="C29" s="4" t="s">
        <v>35</v>
      </c>
      <c r="D29" s="20" t="s">
        <v>93</v>
      </c>
      <c r="E29" s="35">
        <v>4600016152</v>
      </c>
      <c r="F29" s="20" t="s">
        <v>55</v>
      </c>
      <c r="G29" s="20" t="s">
        <v>37</v>
      </c>
      <c r="H29" s="20" t="s">
        <v>149</v>
      </c>
      <c r="I29" s="20" t="s">
        <v>150</v>
      </c>
      <c r="J29" s="20">
        <v>6</v>
      </c>
      <c r="K29" s="25">
        <v>5000</v>
      </c>
      <c r="L29" s="24">
        <v>0</v>
      </c>
      <c r="M29" s="2">
        <f>1500000000+1612696927</f>
        <v>3112696927</v>
      </c>
      <c r="N29" s="2">
        <f>1773412842+350000000</f>
        <v>2123412842</v>
      </c>
      <c r="O29" s="26">
        <f t="shared" si="20"/>
        <v>5236109769</v>
      </c>
      <c r="P29" s="1">
        <v>0</v>
      </c>
      <c r="Q29" s="1">
        <v>0</v>
      </c>
      <c r="R29" s="27">
        <f t="shared" si="21"/>
        <v>5236109769</v>
      </c>
      <c r="S29" s="37" t="s">
        <v>91</v>
      </c>
      <c r="T29" s="37" t="s">
        <v>91</v>
      </c>
      <c r="U29" s="39">
        <v>44406</v>
      </c>
      <c r="V29" s="38">
        <v>45118</v>
      </c>
      <c r="W29" s="38">
        <v>45302</v>
      </c>
      <c r="X29" s="31">
        <v>0</v>
      </c>
      <c r="Y29" s="31">
        <v>0</v>
      </c>
      <c r="Z29" s="38">
        <v>45302</v>
      </c>
      <c r="AA29" s="7">
        <f t="shared" ca="1" si="4"/>
        <v>-853</v>
      </c>
      <c r="AB29" s="25">
        <v>4395</v>
      </c>
      <c r="AC29" s="24">
        <v>0</v>
      </c>
      <c r="AD29" s="2">
        <f>1500000000+1612696927</f>
        <v>3112696927</v>
      </c>
      <c r="AE29" s="2">
        <v>2762789836</v>
      </c>
      <c r="AF29" s="33">
        <f t="shared" si="2"/>
        <v>0.879</v>
      </c>
      <c r="AG29" s="33">
        <f t="shared" si="22"/>
        <v>0.88758716341290622</v>
      </c>
      <c r="AH29" s="20" t="s">
        <v>151</v>
      </c>
      <c r="AI29" s="24" t="s">
        <v>42</v>
      </c>
    </row>
    <row r="30" spans="1:35" ht="91.5" customHeight="1" x14ac:dyDescent="0.25">
      <c r="A30" s="3">
        <v>2023</v>
      </c>
      <c r="B30" s="20" t="s">
        <v>34</v>
      </c>
      <c r="C30" s="4" t="s">
        <v>35</v>
      </c>
      <c r="D30" s="20" t="s">
        <v>93</v>
      </c>
      <c r="E30" s="35" t="s">
        <v>152</v>
      </c>
      <c r="F30" s="20" t="s">
        <v>55</v>
      </c>
      <c r="G30" s="20" t="s">
        <v>37</v>
      </c>
      <c r="H30" s="20" t="s">
        <v>153</v>
      </c>
      <c r="I30" s="20" t="s">
        <v>154</v>
      </c>
      <c r="J30" s="20">
        <v>10</v>
      </c>
      <c r="K30" s="25">
        <v>1000</v>
      </c>
      <c r="L30" s="24">
        <v>0</v>
      </c>
      <c r="M30" s="2">
        <v>299700524</v>
      </c>
      <c r="N30" s="2">
        <v>0</v>
      </c>
      <c r="O30" s="26">
        <f t="shared" si="20"/>
        <v>299700524</v>
      </c>
      <c r="P30" s="1">
        <v>0</v>
      </c>
      <c r="Q30" s="1">
        <v>0</v>
      </c>
      <c r="R30" s="27">
        <f t="shared" si="21"/>
        <v>299700524</v>
      </c>
      <c r="S30" s="37" t="s">
        <v>91</v>
      </c>
      <c r="T30" s="37" t="s">
        <v>91</v>
      </c>
      <c r="U30" s="39">
        <v>44406</v>
      </c>
      <c r="V30" s="38">
        <v>45015</v>
      </c>
      <c r="W30" s="38">
        <v>45321</v>
      </c>
      <c r="X30" s="31">
        <v>0</v>
      </c>
      <c r="Y30" s="31">
        <v>0</v>
      </c>
      <c r="Z30" s="38">
        <v>45302</v>
      </c>
      <c r="AA30" s="7">
        <f t="shared" ca="1" si="4"/>
        <v>-853</v>
      </c>
      <c r="AB30" s="25">
        <v>1000</v>
      </c>
      <c r="AC30" s="24">
        <v>0</v>
      </c>
      <c r="AD30" s="2">
        <v>299700524</v>
      </c>
      <c r="AE30" s="2">
        <v>299673812</v>
      </c>
      <c r="AF30" s="33">
        <f t="shared" si="2"/>
        <v>1</v>
      </c>
      <c r="AG30" s="33">
        <f t="shared" si="22"/>
        <v>0.99991087102670528</v>
      </c>
      <c r="AH30" s="20" t="s">
        <v>155</v>
      </c>
      <c r="AI30" s="24" t="s">
        <v>42</v>
      </c>
    </row>
    <row r="31" spans="1:35" ht="90" x14ac:dyDescent="0.25">
      <c r="A31" s="3">
        <v>2023</v>
      </c>
      <c r="B31" s="20" t="s">
        <v>34</v>
      </c>
      <c r="C31" s="4" t="s">
        <v>54</v>
      </c>
      <c r="D31" s="20" t="s">
        <v>84</v>
      </c>
      <c r="E31" s="35">
        <v>4600016200</v>
      </c>
      <c r="F31" s="20" t="s">
        <v>120</v>
      </c>
      <c r="G31" s="20" t="s">
        <v>37</v>
      </c>
      <c r="H31" s="20" t="s">
        <v>156</v>
      </c>
      <c r="I31" s="20" t="s">
        <v>157</v>
      </c>
      <c r="J31" s="20">
        <v>6</v>
      </c>
      <c r="K31" s="25">
        <v>595</v>
      </c>
      <c r="L31" s="24">
        <v>0</v>
      </c>
      <c r="M31" s="2">
        <v>1167612315</v>
      </c>
      <c r="N31" s="2">
        <v>291903079</v>
      </c>
      <c r="O31" s="26">
        <f t="shared" si="20"/>
        <v>1459515394</v>
      </c>
      <c r="P31" s="1">
        <v>0</v>
      </c>
      <c r="Q31" s="1">
        <v>0</v>
      </c>
      <c r="R31" s="27">
        <f t="shared" si="21"/>
        <v>1459515394</v>
      </c>
      <c r="S31" s="37" t="s">
        <v>91</v>
      </c>
      <c r="T31" s="37" t="s">
        <v>91</v>
      </c>
      <c r="U31" s="39">
        <v>44406</v>
      </c>
      <c r="V31" s="38">
        <v>45135</v>
      </c>
      <c r="W31" s="38">
        <v>45319</v>
      </c>
      <c r="X31" s="31">
        <v>0</v>
      </c>
      <c r="Y31" s="31">
        <v>0</v>
      </c>
      <c r="Z31" s="38">
        <v>45302</v>
      </c>
      <c r="AA31" s="7">
        <f t="shared" ca="1" si="4"/>
        <v>-853</v>
      </c>
      <c r="AB31" s="25">
        <v>595</v>
      </c>
      <c r="AC31" s="24">
        <v>0</v>
      </c>
      <c r="AD31" s="2">
        <v>1167612315</v>
      </c>
      <c r="AE31" s="2">
        <v>1167612315</v>
      </c>
      <c r="AF31" s="33">
        <f t="shared" si="2"/>
        <v>1</v>
      </c>
      <c r="AG31" s="33">
        <f t="shared" si="22"/>
        <v>1</v>
      </c>
      <c r="AH31" s="20" t="s">
        <v>158</v>
      </c>
      <c r="AI31" s="24" t="s">
        <v>42</v>
      </c>
    </row>
    <row r="32" spans="1:35" ht="105" x14ac:dyDescent="0.25">
      <c r="A32" s="3">
        <v>2023</v>
      </c>
      <c r="B32" s="20" t="s">
        <v>34</v>
      </c>
      <c r="C32" s="4" t="s">
        <v>35</v>
      </c>
      <c r="D32" s="20" t="s">
        <v>93</v>
      </c>
      <c r="E32" s="42" t="s">
        <v>159</v>
      </c>
      <c r="F32" s="20" t="s">
        <v>135</v>
      </c>
      <c r="G32" s="20" t="s">
        <v>37</v>
      </c>
      <c r="H32" s="20" t="s">
        <v>160</v>
      </c>
      <c r="I32" s="20" t="s">
        <v>161</v>
      </c>
      <c r="J32" s="20">
        <v>6</v>
      </c>
      <c r="K32" s="25">
        <v>1000</v>
      </c>
      <c r="L32" s="24">
        <v>0</v>
      </c>
      <c r="M32" s="2">
        <v>321829346</v>
      </c>
      <c r="N32" s="2">
        <v>0</v>
      </c>
      <c r="O32" s="26">
        <f t="shared" si="20"/>
        <v>321829346</v>
      </c>
      <c r="P32" s="1">
        <v>0</v>
      </c>
      <c r="Q32" s="1">
        <v>0</v>
      </c>
      <c r="R32" s="27">
        <f t="shared" si="21"/>
        <v>321829346</v>
      </c>
      <c r="S32" s="40" t="s">
        <v>40</v>
      </c>
      <c r="T32" s="40" t="s">
        <v>40</v>
      </c>
      <c r="U32" s="39">
        <v>44406</v>
      </c>
      <c r="V32" s="38">
        <v>45103</v>
      </c>
      <c r="W32" s="38">
        <v>45286</v>
      </c>
      <c r="X32" s="31">
        <v>0</v>
      </c>
      <c r="Y32" s="31">
        <v>0</v>
      </c>
      <c r="Z32" s="38">
        <v>45286</v>
      </c>
      <c r="AA32" s="7">
        <f t="shared" ca="1" si="4"/>
        <v>-869</v>
      </c>
      <c r="AB32" s="25">
        <v>1000</v>
      </c>
      <c r="AC32" s="24">
        <v>0</v>
      </c>
      <c r="AD32" s="2">
        <v>321829346</v>
      </c>
      <c r="AE32" s="2">
        <v>315432111</v>
      </c>
      <c r="AF32" s="33">
        <f t="shared" si="2"/>
        <v>1</v>
      </c>
      <c r="AG32" s="33">
        <f t="shared" si="22"/>
        <v>0.98012227573553845</v>
      </c>
      <c r="AH32" s="20" t="s">
        <v>162</v>
      </c>
      <c r="AI32" s="24" t="s">
        <v>163</v>
      </c>
    </row>
    <row r="33" spans="1:35" ht="90" x14ac:dyDescent="0.25">
      <c r="A33" s="3">
        <v>2023</v>
      </c>
      <c r="B33" s="20" t="s">
        <v>34</v>
      </c>
      <c r="C33" s="4" t="s">
        <v>35</v>
      </c>
      <c r="D33" s="20" t="s">
        <v>93</v>
      </c>
      <c r="E33" s="42" t="s">
        <v>164</v>
      </c>
      <c r="F33" s="20" t="s">
        <v>135</v>
      </c>
      <c r="G33" s="20" t="s">
        <v>37</v>
      </c>
      <c r="H33" s="20" t="s">
        <v>165</v>
      </c>
      <c r="I33" s="20" t="s">
        <v>166</v>
      </c>
      <c r="J33" s="20">
        <v>6</v>
      </c>
      <c r="K33" s="25">
        <v>700</v>
      </c>
      <c r="L33" s="24">
        <v>0</v>
      </c>
      <c r="M33" s="2">
        <v>209743144</v>
      </c>
      <c r="N33" s="2">
        <v>0</v>
      </c>
      <c r="O33" s="26">
        <f t="shared" si="20"/>
        <v>209743144</v>
      </c>
      <c r="P33" s="1">
        <v>0</v>
      </c>
      <c r="Q33" s="1">
        <v>0</v>
      </c>
      <c r="R33" s="27">
        <f t="shared" si="21"/>
        <v>209743144</v>
      </c>
      <c r="S33" s="40" t="s">
        <v>40</v>
      </c>
      <c r="T33" s="40" t="s">
        <v>40</v>
      </c>
      <c r="U33" s="39">
        <v>44406</v>
      </c>
      <c r="V33" s="38">
        <v>45042</v>
      </c>
      <c r="W33" s="38">
        <v>45225</v>
      </c>
      <c r="X33" s="31">
        <v>0</v>
      </c>
      <c r="Y33" s="31">
        <v>0</v>
      </c>
      <c r="Z33" s="38">
        <v>45225</v>
      </c>
      <c r="AA33" s="7">
        <f t="shared" ca="1" si="4"/>
        <v>-930</v>
      </c>
      <c r="AB33" s="25">
        <v>700</v>
      </c>
      <c r="AC33" s="24">
        <v>0</v>
      </c>
      <c r="AD33" s="2">
        <v>209743144</v>
      </c>
      <c r="AE33" s="2">
        <v>209376380</v>
      </c>
      <c r="AF33" s="33">
        <f t="shared" si="2"/>
        <v>1</v>
      </c>
      <c r="AG33" s="33">
        <f t="shared" si="22"/>
        <v>0.99825136596598363</v>
      </c>
      <c r="AH33" s="20" t="s">
        <v>167</v>
      </c>
      <c r="AI33" s="24" t="s">
        <v>140</v>
      </c>
    </row>
    <row r="34" spans="1:35" ht="90" x14ac:dyDescent="0.25">
      <c r="A34" s="3">
        <v>2023</v>
      </c>
      <c r="B34" s="20" t="s">
        <v>34</v>
      </c>
      <c r="C34" s="4" t="s">
        <v>35</v>
      </c>
      <c r="D34" s="20" t="s">
        <v>93</v>
      </c>
      <c r="E34" s="35" t="s">
        <v>168</v>
      </c>
      <c r="F34" s="20" t="s">
        <v>59</v>
      </c>
      <c r="G34" s="20" t="s">
        <v>37</v>
      </c>
      <c r="H34" s="20" t="s">
        <v>169</v>
      </c>
      <c r="I34" s="20" t="s">
        <v>170</v>
      </c>
      <c r="J34" s="20">
        <v>12</v>
      </c>
      <c r="K34" s="25">
        <v>1000</v>
      </c>
      <c r="L34" s="24">
        <v>0</v>
      </c>
      <c r="M34" s="2">
        <v>322537162</v>
      </c>
      <c r="N34" s="2">
        <v>0</v>
      </c>
      <c r="O34" s="26">
        <f t="shared" si="20"/>
        <v>322537162</v>
      </c>
      <c r="P34" s="1">
        <v>0</v>
      </c>
      <c r="Q34" s="1">
        <v>0</v>
      </c>
      <c r="R34" s="27">
        <f t="shared" si="21"/>
        <v>322537162</v>
      </c>
      <c r="S34" s="37" t="s">
        <v>91</v>
      </c>
      <c r="T34" s="37" t="s">
        <v>91</v>
      </c>
      <c r="U34" s="39">
        <v>44406</v>
      </c>
      <c r="V34" s="38">
        <v>45140</v>
      </c>
      <c r="W34" s="38">
        <v>45324</v>
      </c>
      <c r="X34" s="31">
        <v>6</v>
      </c>
      <c r="Y34" s="31">
        <v>0</v>
      </c>
      <c r="Z34" s="38">
        <v>45506</v>
      </c>
      <c r="AA34" s="7">
        <f t="shared" ca="1" si="4"/>
        <v>-649</v>
      </c>
      <c r="AB34" s="25">
        <v>900</v>
      </c>
      <c r="AC34" s="24">
        <v>0</v>
      </c>
      <c r="AD34" s="2">
        <v>322537162</v>
      </c>
      <c r="AE34" s="2">
        <v>320636922</v>
      </c>
      <c r="AF34" s="33">
        <f t="shared" si="2"/>
        <v>0.9</v>
      </c>
      <c r="AG34" s="33">
        <f t="shared" si="22"/>
        <v>0.99410846183361656</v>
      </c>
      <c r="AH34" s="20" t="s">
        <v>171</v>
      </c>
      <c r="AI34" s="24" t="s">
        <v>42</v>
      </c>
    </row>
    <row r="35" spans="1:35" ht="120" x14ac:dyDescent="0.25">
      <c r="A35" s="3">
        <v>2023</v>
      </c>
      <c r="B35" s="20" t="s">
        <v>34</v>
      </c>
      <c r="C35" s="4" t="s">
        <v>35</v>
      </c>
      <c r="D35" s="20" t="s">
        <v>93</v>
      </c>
      <c r="E35" s="42" t="s">
        <v>172</v>
      </c>
      <c r="F35" s="20" t="s">
        <v>36</v>
      </c>
      <c r="G35" s="20" t="s">
        <v>37</v>
      </c>
      <c r="H35" s="20" t="s">
        <v>173</v>
      </c>
      <c r="I35" s="20" t="s">
        <v>174</v>
      </c>
      <c r="J35" s="20">
        <v>0</v>
      </c>
      <c r="K35" s="25">
        <v>560</v>
      </c>
      <c r="L35" s="24">
        <v>0</v>
      </c>
      <c r="M35" s="2">
        <v>180601000</v>
      </c>
      <c r="N35" s="2">
        <v>0</v>
      </c>
      <c r="O35" s="26">
        <f t="shared" si="20"/>
        <v>180601000</v>
      </c>
      <c r="P35" s="1">
        <v>0</v>
      </c>
      <c r="Q35" s="1">
        <v>0</v>
      </c>
      <c r="R35" s="27">
        <f t="shared" si="21"/>
        <v>180601000</v>
      </c>
      <c r="S35" s="40" t="s">
        <v>138</v>
      </c>
      <c r="T35" s="40" t="s">
        <v>138</v>
      </c>
      <c r="U35" s="39">
        <v>44406</v>
      </c>
      <c r="V35" s="38">
        <v>45042</v>
      </c>
      <c r="W35" s="38">
        <v>45225</v>
      </c>
      <c r="X35" s="31">
        <v>0</v>
      </c>
      <c r="Y35" s="31">
        <v>0</v>
      </c>
      <c r="Z35" s="38">
        <v>45225</v>
      </c>
      <c r="AA35" s="7">
        <f t="shared" ca="1" si="4"/>
        <v>-930</v>
      </c>
      <c r="AB35" s="25">
        <v>0</v>
      </c>
      <c r="AC35" s="24">
        <v>0</v>
      </c>
      <c r="AD35" s="2">
        <v>180601000</v>
      </c>
      <c r="AE35" s="2">
        <v>0</v>
      </c>
      <c r="AF35" s="33">
        <f t="shared" si="2"/>
        <v>0</v>
      </c>
      <c r="AG35" s="33">
        <f t="shared" si="22"/>
        <v>0</v>
      </c>
      <c r="AH35" s="20" t="s">
        <v>175</v>
      </c>
      <c r="AI35" s="24" t="s">
        <v>42</v>
      </c>
    </row>
    <row r="36" spans="1:35" ht="90" x14ac:dyDescent="0.25">
      <c r="A36" s="3">
        <v>2023</v>
      </c>
      <c r="B36" s="20" t="s">
        <v>34</v>
      </c>
      <c r="C36" s="4" t="s">
        <v>35</v>
      </c>
      <c r="D36" s="20" t="s">
        <v>93</v>
      </c>
      <c r="E36" s="35" t="s">
        <v>176</v>
      </c>
      <c r="F36" s="20" t="s">
        <v>36</v>
      </c>
      <c r="G36" s="20" t="s">
        <v>37</v>
      </c>
      <c r="H36" s="20" t="s">
        <v>173</v>
      </c>
      <c r="I36" s="20" t="s">
        <v>177</v>
      </c>
      <c r="J36" s="20">
        <v>6</v>
      </c>
      <c r="K36" s="25">
        <v>700</v>
      </c>
      <c r="L36" s="24">
        <v>0</v>
      </c>
      <c r="M36" s="2">
        <v>209791139</v>
      </c>
      <c r="N36" s="2">
        <v>0</v>
      </c>
      <c r="O36" s="26">
        <f t="shared" si="20"/>
        <v>209791139</v>
      </c>
      <c r="P36" s="1">
        <v>0</v>
      </c>
      <c r="Q36" s="1">
        <v>0</v>
      </c>
      <c r="R36" s="27">
        <f t="shared" si="21"/>
        <v>209791139</v>
      </c>
      <c r="S36" s="37" t="s">
        <v>91</v>
      </c>
      <c r="T36" s="37" t="s">
        <v>91</v>
      </c>
      <c r="U36" s="39">
        <v>44406</v>
      </c>
      <c r="V36" s="38">
        <v>45026</v>
      </c>
      <c r="W36" s="38">
        <v>45209</v>
      </c>
      <c r="X36" s="31">
        <v>6</v>
      </c>
      <c r="Y36" s="31">
        <v>0</v>
      </c>
      <c r="Z36" s="38">
        <v>45209</v>
      </c>
      <c r="AA36" s="7">
        <f t="shared" ca="1" si="4"/>
        <v>-946</v>
      </c>
      <c r="AB36" s="25">
        <v>700</v>
      </c>
      <c r="AC36" s="24">
        <v>0</v>
      </c>
      <c r="AD36" s="2">
        <v>209791139</v>
      </c>
      <c r="AE36" s="2">
        <v>206935884</v>
      </c>
      <c r="AF36" s="33">
        <f t="shared" si="2"/>
        <v>1</v>
      </c>
      <c r="AG36" s="33">
        <f t="shared" si="22"/>
        <v>0.9863900114484816</v>
      </c>
      <c r="AH36" s="20" t="s">
        <v>178</v>
      </c>
      <c r="AI36" s="24" t="s">
        <v>42</v>
      </c>
    </row>
    <row r="37" spans="1:35" ht="120" x14ac:dyDescent="0.25">
      <c r="A37" s="3">
        <v>2023</v>
      </c>
      <c r="B37" s="20" t="s">
        <v>34</v>
      </c>
      <c r="C37" s="4" t="s">
        <v>35</v>
      </c>
      <c r="D37" s="20" t="s">
        <v>84</v>
      </c>
      <c r="E37" s="35">
        <v>4600016231</v>
      </c>
      <c r="F37" s="20" t="s">
        <v>115</v>
      </c>
      <c r="G37" s="20" t="s">
        <v>37</v>
      </c>
      <c r="H37" s="20" t="s">
        <v>179</v>
      </c>
      <c r="I37" s="20" t="s">
        <v>180</v>
      </c>
      <c r="J37" s="20">
        <v>17.399999999999999</v>
      </c>
      <c r="K37" s="25">
        <v>2100</v>
      </c>
      <c r="L37" s="24">
        <v>0</v>
      </c>
      <c r="M37" s="2">
        <v>2618781850</v>
      </c>
      <c r="N37" s="2">
        <v>642952772</v>
      </c>
      <c r="O37" s="26">
        <f t="shared" si="20"/>
        <v>3261734622</v>
      </c>
      <c r="P37" s="1">
        <v>524950402</v>
      </c>
      <c r="Q37" s="1">
        <v>15000000</v>
      </c>
      <c r="R37" s="27">
        <f t="shared" si="21"/>
        <v>3801685024</v>
      </c>
      <c r="S37" s="37" t="s">
        <v>91</v>
      </c>
      <c r="T37" s="37" t="s">
        <v>181</v>
      </c>
      <c r="U37" s="39">
        <v>44406</v>
      </c>
      <c r="V37" s="38">
        <v>45139</v>
      </c>
      <c r="W37" s="38">
        <v>45413</v>
      </c>
      <c r="X37" s="31">
        <v>7</v>
      </c>
      <c r="Y37" s="43">
        <v>1.5</v>
      </c>
      <c r="Z37" s="38">
        <v>45671</v>
      </c>
      <c r="AA37" s="7">
        <f t="shared" ca="1" si="4"/>
        <v>-484</v>
      </c>
      <c r="AB37" s="25">
        <v>1682</v>
      </c>
      <c r="AC37" s="24">
        <v>0</v>
      </c>
      <c r="AD37" s="2">
        <v>3143732248</v>
      </c>
      <c r="AE37" s="2">
        <v>1754056587</v>
      </c>
      <c r="AF37" s="33">
        <f t="shared" si="2"/>
        <v>0.80095238095238097</v>
      </c>
      <c r="AG37" s="33">
        <f t="shared" si="22"/>
        <v>0.5579535560370662</v>
      </c>
      <c r="AH37" s="20" t="s">
        <v>182</v>
      </c>
      <c r="AI37" s="24" t="s">
        <v>42</v>
      </c>
    </row>
    <row r="38" spans="1:35" ht="90" x14ac:dyDescent="0.25">
      <c r="A38" s="3">
        <v>2023</v>
      </c>
      <c r="B38" s="20" t="s">
        <v>34</v>
      </c>
      <c r="C38" s="4" t="s">
        <v>35</v>
      </c>
      <c r="D38" s="20" t="s">
        <v>93</v>
      </c>
      <c r="E38" s="35" t="s">
        <v>183</v>
      </c>
      <c r="F38" s="20" t="s">
        <v>115</v>
      </c>
      <c r="G38" s="20" t="s">
        <v>37</v>
      </c>
      <c r="H38" s="20" t="s">
        <v>179</v>
      </c>
      <c r="I38" s="20" t="s">
        <v>184</v>
      </c>
      <c r="J38" s="20">
        <v>4.9000000000000004</v>
      </c>
      <c r="K38" s="25">
        <v>500</v>
      </c>
      <c r="L38" s="24">
        <v>0</v>
      </c>
      <c r="M38" s="2">
        <v>161260743</v>
      </c>
      <c r="N38" s="2">
        <v>0</v>
      </c>
      <c r="O38" s="26">
        <f t="shared" ref="O38" si="23">+SUM(M38+N38)</f>
        <v>161260743</v>
      </c>
      <c r="P38" s="1">
        <v>0</v>
      </c>
      <c r="Q38" s="1">
        <v>0</v>
      </c>
      <c r="R38" s="27">
        <f t="shared" ref="R38" si="24">+SUM(O38:Q38)</f>
        <v>161260743</v>
      </c>
      <c r="S38" s="37" t="s">
        <v>40</v>
      </c>
      <c r="T38" s="37" t="s">
        <v>185</v>
      </c>
      <c r="U38" s="39">
        <v>44406</v>
      </c>
      <c r="V38" s="38">
        <v>45104</v>
      </c>
      <c r="W38" s="38">
        <v>45318</v>
      </c>
      <c r="X38" s="31">
        <v>0</v>
      </c>
      <c r="Y38" s="31">
        <v>0</v>
      </c>
      <c r="Z38" s="38">
        <v>45318</v>
      </c>
      <c r="AA38" s="7">
        <f t="shared" ca="1" si="4"/>
        <v>-837</v>
      </c>
      <c r="AB38" s="25">
        <v>0</v>
      </c>
      <c r="AC38" s="24">
        <v>0</v>
      </c>
      <c r="AD38" s="2">
        <v>161260743</v>
      </c>
      <c r="AE38" s="2">
        <v>0</v>
      </c>
      <c r="AF38" s="33">
        <f t="shared" si="2"/>
        <v>0</v>
      </c>
      <c r="AG38" s="33">
        <f t="shared" ref="AG38" si="25">AE38/AD38</f>
        <v>0</v>
      </c>
      <c r="AH38" s="20" t="s">
        <v>186</v>
      </c>
      <c r="AI38" s="24" t="s">
        <v>42</v>
      </c>
    </row>
    <row r="39" spans="1:35" ht="105" x14ac:dyDescent="0.25">
      <c r="A39" s="3">
        <v>2023</v>
      </c>
      <c r="B39" s="20" t="s">
        <v>34</v>
      </c>
      <c r="C39" s="4" t="s">
        <v>35</v>
      </c>
      <c r="D39" s="20" t="s">
        <v>93</v>
      </c>
      <c r="E39" s="42" t="s">
        <v>187</v>
      </c>
      <c r="F39" s="20" t="s">
        <v>80</v>
      </c>
      <c r="G39" s="20" t="s">
        <v>37</v>
      </c>
      <c r="H39" s="20" t="s">
        <v>188</v>
      </c>
      <c r="I39" s="20" t="s">
        <v>189</v>
      </c>
      <c r="J39" s="20">
        <v>2.6</v>
      </c>
      <c r="K39" s="25">
        <v>700</v>
      </c>
      <c r="L39" s="24">
        <v>0</v>
      </c>
      <c r="M39" s="2">
        <v>203481563</v>
      </c>
      <c r="N39" s="2">
        <v>0</v>
      </c>
      <c r="O39" s="26">
        <f t="shared" ref="O39" si="26">+SUM(M39+N39)</f>
        <v>203481563</v>
      </c>
      <c r="P39" s="1">
        <v>0</v>
      </c>
      <c r="Q39" s="1">
        <v>0</v>
      </c>
      <c r="R39" s="27">
        <f t="shared" ref="R39" si="27">+SUM(O39:Q39)</f>
        <v>203481563</v>
      </c>
      <c r="S39" s="40" t="s">
        <v>40</v>
      </c>
      <c r="T39" s="40" t="s">
        <v>185</v>
      </c>
      <c r="U39" s="39">
        <v>44406</v>
      </c>
      <c r="V39" s="38">
        <v>45012</v>
      </c>
      <c r="W39" s="38">
        <v>45257</v>
      </c>
      <c r="X39" s="31">
        <v>0</v>
      </c>
      <c r="Y39" s="31">
        <v>0</v>
      </c>
      <c r="Z39" s="38">
        <v>45257</v>
      </c>
      <c r="AA39" s="7">
        <f t="shared" ca="1" si="4"/>
        <v>-898</v>
      </c>
      <c r="AB39" s="25">
        <v>0</v>
      </c>
      <c r="AC39" s="24">
        <v>0</v>
      </c>
      <c r="AD39" s="2">
        <v>203481563</v>
      </c>
      <c r="AE39" s="2">
        <v>0</v>
      </c>
      <c r="AF39" s="33">
        <f t="shared" si="2"/>
        <v>0</v>
      </c>
      <c r="AG39" s="33">
        <f t="shared" ref="AG39" si="28">AE39/AD39</f>
        <v>0</v>
      </c>
      <c r="AH39" s="20" t="s">
        <v>190</v>
      </c>
      <c r="AI39" s="24" t="s">
        <v>42</v>
      </c>
    </row>
    <row r="40" spans="1:35" ht="105" x14ac:dyDescent="0.25">
      <c r="A40" s="3">
        <v>2023</v>
      </c>
      <c r="B40" s="20" t="s">
        <v>34</v>
      </c>
      <c r="C40" s="4" t="s">
        <v>35</v>
      </c>
      <c r="D40" s="20" t="s">
        <v>93</v>
      </c>
      <c r="E40" s="35" t="s">
        <v>191</v>
      </c>
      <c r="F40" s="20" t="s">
        <v>45</v>
      </c>
      <c r="G40" s="20" t="s">
        <v>37</v>
      </c>
      <c r="H40" s="20" t="s">
        <v>192</v>
      </c>
      <c r="I40" s="20" t="s">
        <v>193</v>
      </c>
      <c r="J40" s="20">
        <v>14</v>
      </c>
      <c r="K40" s="25">
        <v>1700</v>
      </c>
      <c r="L40" s="24">
        <v>0</v>
      </c>
      <c r="M40" s="2">
        <v>509354761</v>
      </c>
      <c r="N40" s="2">
        <v>0</v>
      </c>
      <c r="O40" s="26">
        <f t="shared" ref="O40" si="29">+SUM(M40+N40)</f>
        <v>509354761</v>
      </c>
      <c r="P40" s="1">
        <v>0</v>
      </c>
      <c r="Q40" s="1">
        <v>0</v>
      </c>
      <c r="R40" s="27">
        <f t="shared" ref="R40" si="30">+SUM(O40:Q40)</f>
        <v>509354761</v>
      </c>
      <c r="S40" s="37" t="s">
        <v>91</v>
      </c>
      <c r="T40" s="37" t="s">
        <v>91</v>
      </c>
      <c r="U40" s="39">
        <v>44406</v>
      </c>
      <c r="V40" s="38">
        <v>45029</v>
      </c>
      <c r="W40" s="38">
        <v>45273</v>
      </c>
      <c r="X40" s="31">
        <v>0</v>
      </c>
      <c r="Y40" s="31">
        <v>0</v>
      </c>
      <c r="Z40" s="38">
        <v>45273</v>
      </c>
      <c r="AA40" s="7">
        <f t="shared" ca="1" si="4"/>
        <v>-882</v>
      </c>
      <c r="AB40" s="25">
        <v>1700</v>
      </c>
      <c r="AC40" s="24">
        <v>0</v>
      </c>
      <c r="AD40" s="2">
        <v>509354761</v>
      </c>
      <c r="AE40" s="2">
        <v>506473851</v>
      </c>
      <c r="AF40" s="33">
        <f t="shared" si="2"/>
        <v>1</v>
      </c>
      <c r="AG40" s="33">
        <f t="shared" ref="AG40" si="31">AE40/AD40</f>
        <v>0.99434400103702969</v>
      </c>
      <c r="AH40" s="20" t="s">
        <v>194</v>
      </c>
      <c r="AI40" s="24" t="s">
        <v>42</v>
      </c>
    </row>
    <row r="41" spans="1:35" ht="90" x14ac:dyDescent="0.25">
      <c r="A41" s="3">
        <v>2023</v>
      </c>
      <c r="B41" s="20" t="s">
        <v>34</v>
      </c>
      <c r="C41" s="4" t="s">
        <v>35</v>
      </c>
      <c r="D41" s="20" t="s">
        <v>93</v>
      </c>
      <c r="E41" s="35" t="s">
        <v>195</v>
      </c>
      <c r="F41" s="20" t="s">
        <v>88</v>
      </c>
      <c r="G41" s="20" t="s">
        <v>37</v>
      </c>
      <c r="H41" s="20" t="s">
        <v>196</v>
      </c>
      <c r="I41" s="20" t="s">
        <v>197</v>
      </c>
      <c r="J41" s="20">
        <v>10.1</v>
      </c>
      <c r="K41" s="25">
        <v>400</v>
      </c>
      <c r="L41" s="24">
        <v>0</v>
      </c>
      <c r="M41" s="2">
        <v>129009827</v>
      </c>
      <c r="N41" s="2">
        <v>0</v>
      </c>
      <c r="O41" s="26">
        <f t="shared" ref="O41" si="32">+SUM(M41+N41)</f>
        <v>129009827</v>
      </c>
      <c r="P41" s="1">
        <v>0</v>
      </c>
      <c r="Q41" s="1">
        <v>0</v>
      </c>
      <c r="R41" s="27">
        <f t="shared" ref="R41" si="33">+SUM(O41:Q41)</f>
        <v>129009827</v>
      </c>
      <c r="S41" s="37" t="s">
        <v>91</v>
      </c>
      <c r="T41" s="37" t="s">
        <v>91</v>
      </c>
      <c r="U41" s="39">
        <v>44406</v>
      </c>
      <c r="V41" s="38">
        <v>45106</v>
      </c>
      <c r="W41" s="38">
        <v>45289</v>
      </c>
      <c r="X41" s="31">
        <v>0</v>
      </c>
      <c r="Y41" s="31">
        <v>0</v>
      </c>
      <c r="Z41" s="38">
        <v>45289</v>
      </c>
      <c r="AA41" s="7">
        <f t="shared" ca="1" si="4"/>
        <v>-866</v>
      </c>
      <c r="AB41" s="25">
        <v>400</v>
      </c>
      <c r="AC41" s="24">
        <v>0</v>
      </c>
      <c r="AD41" s="2">
        <v>129009827</v>
      </c>
      <c r="AE41" s="2">
        <v>128410336</v>
      </c>
      <c r="AF41" s="33">
        <f t="shared" si="2"/>
        <v>1</v>
      </c>
      <c r="AG41" s="33">
        <f t="shared" ref="AG41" si="34">AE41/AD41</f>
        <v>0.99535313693583982</v>
      </c>
      <c r="AH41" s="20" t="s">
        <v>198</v>
      </c>
      <c r="AI41" s="24" t="s">
        <v>42</v>
      </c>
    </row>
    <row r="42" spans="1:35" ht="90" x14ac:dyDescent="0.25">
      <c r="A42" s="3">
        <v>2023</v>
      </c>
      <c r="B42" s="20" t="s">
        <v>34</v>
      </c>
      <c r="C42" s="4" t="s">
        <v>35</v>
      </c>
      <c r="D42" s="20" t="s">
        <v>93</v>
      </c>
      <c r="E42" s="35" t="s">
        <v>199</v>
      </c>
      <c r="F42" s="20" t="s">
        <v>50</v>
      </c>
      <c r="G42" s="20" t="s">
        <v>37</v>
      </c>
      <c r="H42" s="20" t="s">
        <v>200</v>
      </c>
      <c r="I42" s="20" t="s">
        <v>201</v>
      </c>
      <c r="J42" s="20">
        <v>7</v>
      </c>
      <c r="K42" s="25">
        <v>560</v>
      </c>
      <c r="L42" s="24">
        <v>0</v>
      </c>
      <c r="M42" s="2">
        <v>180463424</v>
      </c>
      <c r="N42" s="2">
        <v>0</v>
      </c>
      <c r="O42" s="26">
        <f t="shared" ref="O42" si="35">+SUM(M42+N42)</f>
        <v>180463424</v>
      </c>
      <c r="P42" s="1">
        <v>0</v>
      </c>
      <c r="Q42" s="1">
        <v>0</v>
      </c>
      <c r="R42" s="27">
        <f t="shared" ref="R42" si="36">+SUM(O42:Q42)</f>
        <v>180463424</v>
      </c>
      <c r="S42" s="37" t="s">
        <v>91</v>
      </c>
      <c r="T42" s="37" t="s">
        <v>91</v>
      </c>
      <c r="U42" s="39">
        <v>44406</v>
      </c>
      <c r="V42" s="38">
        <v>45111</v>
      </c>
      <c r="W42" s="38">
        <v>45326</v>
      </c>
      <c r="X42" s="31">
        <v>0</v>
      </c>
      <c r="Y42" s="31">
        <v>0</v>
      </c>
      <c r="Z42" s="38">
        <v>45289</v>
      </c>
      <c r="AA42" s="7">
        <f t="shared" ca="1" si="4"/>
        <v>-866</v>
      </c>
      <c r="AB42" s="25">
        <v>560</v>
      </c>
      <c r="AC42" s="24">
        <v>0</v>
      </c>
      <c r="AD42" s="2">
        <v>180463424</v>
      </c>
      <c r="AE42" s="2">
        <v>178139664</v>
      </c>
      <c r="AF42" s="33">
        <f t="shared" si="2"/>
        <v>1</v>
      </c>
      <c r="AG42" s="33">
        <f t="shared" ref="AG42" si="37">AE42/AD42</f>
        <v>0.98712337409712447</v>
      </c>
      <c r="AH42" s="20" t="s">
        <v>202</v>
      </c>
      <c r="AI42" s="24" t="s">
        <v>42</v>
      </c>
    </row>
    <row r="43" spans="1:35" ht="105" x14ac:dyDescent="0.25">
      <c r="A43" s="3">
        <v>2024</v>
      </c>
      <c r="B43" s="20" t="s">
        <v>34</v>
      </c>
      <c r="C43" s="4" t="s">
        <v>35</v>
      </c>
      <c r="D43" s="20" t="s">
        <v>93</v>
      </c>
      <c r="E43" s="35" t="s">
        <v>203</v>
      </c>
      <c r="F43" s="20" t="s">
        <v>135</v>
      </c>
      <c r="G43" s="20" t="s">
        <v>37</v>
      </c>
      <c r="H43" s="20" t="s">
        <v>204</v>
      </c>
      <c r="I43" s="20" t="s">
        <v>205</v>
      </c>
      <c r="J43" s="20">
        <v>7</v>
      </c>
      <c r="K43" s="25">
        <v>700</v>
      </c>
      <c r="L43" s="24">
        <v>0</v>
      </c>
      <c r="M43" s="2">
        <v>245000000</v>
      </c>
      <c r="N43" s="2">
        <v>771624990</v>
      </c>
      <c r="O43" s="26">
        <f t="shared" ref="O43" si="38">+SUM(M43+N43)</f>
        <v>1016624990</v>
      </c>
      <c r="P43" s="1">
        <v>0</v>
      </c>
      <c r="Q43" s="1">
        <v>0</v>
      </c>
      <c r="R43" s="27">
        <f t="shared" ref="R43" si="39">+SUM(O43:Q43)</f>
        <v>1016624990</v>
      </c>
      <c r="S43" s="37" t="s">
        <v>91</v>
      </c>
      <c r="T43" s="37" t="s">
        <v>91</v>
      </c>
      <c r="U43" s="39">
        <v>44406</v>
      </c>
      <c r="V43" s="38">
        <v>45679</v>
      </c>
      <c r="W43" s="38">
        <v>45891</v>
      </c>
      <c r="X43" s="31">
        <v>2</v>
      </c>
      <c r="Y43" s="31">
        <v>0</v>
      </c>
      <c r="Z43" s="38">
        <v>45952</v>
      </c>
      <c r="AA43" s="7">
        <f t="shared" ca="1" si="4"/>
        <v>-203</v>
      </c>
      <c r="AB43" s="25">
        <v>700</v>
      </c>
      <c r="AC43" s="24">
        <v>0</v>
      </c>
      <c r="AD43" s="2">
        <v>245000000</v>
      </c>
      <c r="AE43" s="2">
        <v>221907017</v>
      </c>
      <c r="AF43" s="33">
        <f t="shared" si="2"/>
        <v>1</v>
      </c>
      <c r="AG43" s="33">
        <f t="shared" ref="AG43" si="40">AE43/AD43</f>
        <v>0.90574292653061228</v>
      </c>
      <c r="AH43" s="20" t="s">
        <v>206</v>
      </c>
      <c r="AI43" s="24" t="s">
        <v>207</v>
      </c>
    </row>
    <row r="44" spans="1:35" ht="135" x14ac:dyDescent="0.25">
      <c r="A44" s="3">
        <v>2024</v>
      </c>
      <c r="B44" s="20" t="s">
        <v>34</v>
      </c>
      <c r="C44" s="4" t="s">
        <v>35</v>
      </c>
      <c r="D44" s="20" t="s">
        <v>93</v>
      </c>
      <c r="E44" s="47" t="s">
        <v>208</v>
      </c>
      <c r="F44" s="20" t="s">
        <v>36</v>
      </c>
      <c r="G44" s="20" t="s">
        <v>37</v>
      </c>
      <c r="H44" s="20" t="s">
        <v>209</v>
      </c>
      <c r="I44" s="20" t="s">
        <v>210</v>
      </c>
      <c r="J44" s="20">
        <v>7</v>
      </c>
      <c r="K44" s="25">
        <v>1000</v>
      </c>
      <c r="L44" s="24">
        <v>0</v>
      </c>
      <c r="M44" s="2">
        <v>350000000</v>
      </c>
      <c r="N44" s="2">
        <f>30000000+376004445+43563114</f>
        <v>449567559</v>
      </c>
      <c r="O44" s="26">
        <f t="shared" ref="O44" si="41">+SUM(M44+N44)</f>
        <v>799567559</v>
      </c>
      <c r="P44" s="1">
        <v>0</v>
      </c>
      <c r="Q44" s="1">
        <v>0</v>
      </c>
      <c r="R44" s="27">
        <f t="shared" ref="R44" si="42">+SUM(O44:Q44)</f>
        <v>799567559</v>
      </c>
      <c r="S44" s="37" t="s">
        <v>91</v>
      </c>
      <c r="T44" s="48" t="s">
        <v>181</v>
      </c>
      <c r="U44" s="39">
        <v>44406</v>
      </c>
      <c r="V44" s="38">
        <v>45672</v>
      </c>
      <c r="W44" s="38">
        <v>45915</v>
      </c>
      <c r="X44" s="31">
        <v>2</v>
      </c>
      <c r="Y44" s="31">
        <v>0</v>
      </c>
      <c r="Z44" s="38">
        <v>45976</v>
      </c>
      <c r="AA44" s="7">
        <f t="shared" ca="1" si="4"/>
        <v>-179</v>
      </c>
      <c r="AB44" s="25">
        <v>787</v>
      </c>
      <c r="AC44" s="24">
        <v>0</v>
      </c>
      <c r="AD44" s="2">
        <v>350000000</v>
      </c>
      <c r="AE44" s="2">
        <v>324861533</v>
      </c>
      <c r="AF44" s="33">
        <f t="shared" si="2"/>
        <v>0.78700000000000003</v>
      </c>
      <c r="AG44" s="33">
        <f t="shared" ref="AG44" si="43">AE44/AD44</f>
        <v>0.92817580857142856</v>
      </c>
      <c r="AH44" s="20" t="s">
        <v>211</v>
      </c>
      <c r="AI44" s="24" t="s">
        <v>42</v>
      </c>
    </row>
    <row r="45" spans="1:35" ht="105" x14ac:dyDescent="0.25">
      <c r="A45" s="3">
        <v>2024</v>
      </c>
      <c r="B45" s="20" t="s">
        <v>34</v>
      </c>
      <c r="C45" s="4" t="s">
        <v>35</v>
      </c>
      <c r="D45" s="20" t="s">
        <v>93</v>
      </c>
      <c r="E45" s="47" t="s">
        <v>212</v>
      </c>
      <c r="F45" s="20" t="s">
        <v>80</v>
      </c>
      <c r="G45" s="20" t="s">
        <v>37</v>
      </c>
      <c r="H45" s="20" t="s">
        <v>213</v>
      </c>
      <c r="I45" s="20" t="s">
        <v>214</v>
      </c>
      <c r="J45" s="20">
        <v>7</v>
      </c>
      <c r="K45" s="25">
        <v>1000</v>
      </c>
      <c r="L45" s="24">
        <v>0</v>
      </c>
      <c r="M45" s="2">
        <v>350000000</v>
      </c>
      <c r="N45" s="2">
        <f>384587791+107807386</f>
        <v>492395177</v>
      </c>
      <c r="O45" s="26">
        <f t="shared" ref="O45" si="44">+SUM(M45+N45)</f>
        <v>842395177</v>
      </c>
      <c r="P45" s="1">
        <v>0</v>
      </c>
      <c r="Q45" s="1">
        <v>0</v>
      </c>
      <c r="R45" s="27">
        <f t="shared" ref="R45" si="45">+SUM(O45:Q45)</f>
        <v>842395177</v>
      </c>
      <c r="S45" s="37" t="s">
        <v>91</v>
      </c>
      <c r="T45" s="48" t="s">
        <v>181</v>
      </c>
      <c r="U45" s="39">
        <v>44406</v>
      </c>
      <c r="V45" s="38">
        <v>45674</v>
      </c>
      <c r="W45" s="38">
        <v>45855</v>
      </c>
      <c r="X45" s="31">
        <v>3</v>
      </c>
      <c r="Y45" s="31">
        <v>0</v>
      </c>
      <c r="Z45" s="38">
        <v>45947</v>
      </c>
      <c r="AA45" s="7">
        <f t="shared" ca="1" si="4"/>
        <v>-208</v>
      </c>
      <c r="AB45" s="25">
        <v>886</v>
      </c>
      <c r="AC45" s="24">
        <v>0</v>
      </c>
      <c r="AD45" s="2">
        <v>350000000</v>
      </c>
      <c r="AE45" s="2">
        <v>284363125</v>
      </c>
      <c r="AF45" s="33">
        <f t="shared" si="2"/>
        <v>0.88600000000000001</v>
      </c>
      <c r="AG45" s="33">
        <f t="shared" ref="AG45" si="46">AE45/AD45</f>
        <v>0.81246607142857141</v>
      </c>
      <c r="AH45" s="20" t="s">
        <v>215</v>
      </c>
    </row>
    <row r="46" spans="1:35" ht="90" x14ac:dyDescent="0.25">
      <c r="A46" s="3">
        <v>2024</v>
      </c>
      <c r="B46" s="20" t="s">
        <v>34</v>
      </c>
      <c r="C46" s="4" t="s">
        <v>35</v>
      </c>
      <c r="D46" s="20" t="s">
        <v>93</v>
      </c>
      <c r="E46" s="35" t="s">
        <v>216</v>
      </c>
      <c r="F46" s="20" t="s">
        <v>88</v>
      </c>
      <c r="G46" s="20" t="s">
        <v>37</v>
      </c>
      <c r="H46" s="20" t="s">
        <v>217</v>
      </c>
      <c r="I46" s="20" t="s">
        <v>218</v>
      </c>
      <c r="J46" s="20">
        <v>5</v>
      </c>
      <c r="K46" s="25">
        <v>600</v>
      </c>
      <c r="L46" s="24">
        <v>0</v>
      </c>
      <c r="M46" s="2">
        <v>210000000</v>
      </c>
      <c r="N46" s="2">
        <v>510513945</v>
      </c>
      <c r="O46" s="26">
        <f t="shared" ref="O46" si="47">+SUM(M46+N46)</f>
        <v>720513945</v>
      </c>
      <c r="P46" s="1">
        <v>0</v>
      </c>
      <c r="Q46" s="1">
        <v>0</v>
      </c>
      <c r="R46" s="27">
        <f t="shared" ref="R46" si="48">+SUM(O46:Q46)</f>
        <v>720513945</v>
      </c>
      <c r="S46" s="37" t="s">
        <v>91</v>
      </c>
      <c r="T46" s="37" t="s">
        <v>91</v>
      </c>
      <c r="U46" s="39">
        <v>44406</v>
      </c>
      <c r="V46" s="38">
        <v>45672</v>
      </c>
      <c r="W46" s="38">
        <v>45823</v>
      </c>
      <c r="X46" s="31">
        <v>3</v>
      </c>
      <c r="Y46" s="31">
        <v>0</v>
      </c>
      <c r="Z46" s="38">
        <v>46006</v>
      </c>
      <c r="AA46" s="7">
        <f t="shared" ca="1" si="4"/>
        <v>-149</v>
      </c>
      <c r="AB46" s="25">
        <v>600</v>
      </c>
      <c r="AC46" s="24">
        <v>0</v>
      </c>
      <c r="AD46" s="2">
        <v>210000000</v>
      </c>
      <c r="AE46" s="2">
        <v>151700843</v>
      </c>
      <c r="AF46" s="33">
        <f t="shared" si="2"/>
        <v>1</v>
      </c>
      <c r="AG46" s="33">
        <f t="shared" ref="AG46" si="49">AE46/AD46</f>
        <v>0.72238496666666663</v>
      </c>
      <c r="AH46" s="20" t="s">
        <v>219</v>
      </c>
    </row>
    <row r="47" spans="1:35" ht="105" x14ac:dyDescent="0.25">
      <c r="A47" s="3">
        <v>2025</v>
      </c>
      <c r="B47" s="20" t="s">
        <v>34</v>
      </c>
      <c r="C47" s="4" t="s">
        <v>35</v>
      </c>
      <c r="D47" s="20" t="s">
        <v>220</v>
      </c>
      <c r="E47" s="35">
        <v>4600018194</v>
      </c>
      <c r="F47" s="20" t="s">
        <v>59</v>
      </c>
      <c r="G47" s="20" t="s">
        <v>37</v>
      </c>
      <c r="H47" s="20" t="s">
        <v>221</v>
      </c>
      <c r="I47" s="20" t="s">
        <v>222</v>
      </c>
      <c r="J47" s="20">
        <v>6</v>
      </c>
      <c r="K47" s="25">
        <v>197</v>
      </c>
      <c r="L47" s="24">
        <v>0</v>
      </c>
      <c r="M47" s="2">
        <v>214750280</v>
      </c>
      <c r="N47" s="2">
        <v>209509678</v>
      </c>
      <c r="O47" s="26">
        <f t="shared" ref="O47" si="50">+SUM(M47+N47)</f>
        <v>424259958</v>
      </c>
      <c r="P47" s="1">
        <v>0</v>
      </c>
      <c r="Q47" s="1">
        <v>0</v>
      </c>
      <c r="R47" s="27">
        <f t="shared" ref="R47" si="51">+SUM(O47:Q47)</f>
        <v>424259958</v>
      </c>
      <c r="S47" s="37" t="s">
        <v>91</v>
      </c>
      <c r="T47" s="37" t="s">
        <v>91</v>
      </c>
      <c r="U47" s="39">
        <v>44406</v>
      </c>
      <c r="V47" s="38">
        <v>45894</v>
      </c>
      <c r="W47" s="38">
        <v>46022</v>
      </c>
      <c r="X47" s="31">
        <v>0</v>
      </c>
      <c r="Y47" s="31">
        <v>0</v>
      </c>
      <c r="Z47" s="38">
        <v>46022</v>
      </c>
      <c r="AA47" s="7">
        <f t="shared" ca="1" si="4"/>
        <v>-133</v>
      </c>
      <c r="AB47" s="25">
        <v>197</v>
      </c>
      <c r="AC47" s="24">
        <v>0</v>
      </c>
      <c r="AD47" s="2">
        <v>214750280</v>
      </c>
      <c r="AE47" s="2">
        <v>0</v>
      </c>
      <c r="AF47" s="33">
        <f t="shared" si="2"/>
        <v>1</v>
      </c>
      <c r="AG47" s="33">
        <f t="shared" ref="AG47" si="52">AE47/AD47</f>
        <v>0</v>
      </c>
      <c r="AH47" s="20" t="s">
        <v>223</v>
      </c>
    </row>
    <row r="48" spans="1:35" ht="90" x14ac:dyDescent="0.25">
      <c r="A48" s="3">
        <v>2025</v>
      </c>
      <c r="B48" s="20" t="s">
        <v>34</v>
      </c>
      <c r="C48" s="4" t="s">
        <v>35</v>
      </c>
      <c r="D48" s="20" t="s">
        <v>220</v>
      </c>
      <c r="E48" s="47">
        <v>4600018676</v>
      </c>
      <c r="F48" s="20" t="s">
        <v>45</v>
      </c>
      <c r="G48" s="20" t="s">
        <v>37</v>
      </c>
      <c r="H48" s="20" t="s">
        <v>224</v>
      </c>
      <c r="I48" s="20" t="s">
        <v>225</v>
      </c>
      <c r="J48" s="20">
        <v>3</v>
      </c>
      <c r="K48" s="25">
        <v>0</v>
      </c>
      <c r="L48" s="28">
        <v>136.63999999999999</v>
      </c>
      <c r="M48" s="2">
        <v>300000000</v>
      </c>
      <c r="N48" s="2">
        <v>37871221</v>
      </c>
      <c r="O48" s="26">
        <f t="shared" ref="O48" si="53">+SUM(M48+N48)</f>
        <v>337871221</v>
      </c>
      <c r="P48" s="1">
        <v>0</v>
      </c>
      <c r="Q48" s="1">
        <v>0</v>
      </c>
      <c r="R48" s="27">
        <f t="shared" ref="R48" si="54">+SUM(O48:Q48)</f>
        <v>337871221</v>
      </c>
      <c r="S48" s="48" t="s">
        <v>181</v>
      </c>
      <c r="T48" s="48" t="s">
        <v>181</v>
      </c>
      <c r="U48" s="38">
        <v>45968</v>
      </c>
      <c r="V48" s="38">
        <v>46000</v>
      </c>
      <c r="W48" s="38">
        <v>46090</v>
      </c>
      <c r="X48" s="31">
        <v>0</v>
      </c>
      <c r="Y48" s="31">
        <v>1</v>
      </c>
      <c r="Z48" s="38">
        <v>46122</v>
      </c>
      <c r="AA48" s="7">
        <f t="shared" ca="1" si="4"/>
        <v>-33</v>
      </c>
      <c r="AB48" s="25">
        <v>0</v>
      </c>
      <c r="AC48" s="28">
        <v>14</v>
      </c>
      <c r="AD48" s="2">
        <v>300000000</v>
      </c>
      <c r="AE48" s="2">
        <v>0</v>
      </c>
      <c r="AF48" s="32">
        <f>AC48/L48</f>
        <v>0.10245901639344264</v>
      </c>
      <c r="AG48" s="33">
        <f t="shared" ref="AG48" si="55">AE48/AD48</f>
        <v>0</v>
      </c>
      <c r="AH48" s="20" t="s">
        <v>226</v>
      </c>
      <c r="AI48" s="51" t="s">
        <v>207</v>
      </c>
    </row>
  </sheetData>
  <autoFilter ref="A1:G48" xr:uid="{00000000-0009-0000-0000-000000000000}"/>
  <conditionalFormatting sqref="A4:G48">
    <cfRule type="cellIs" dxfId="13" priority="2" operator="equal">
      <formula>"LIQUIDADO"</formula>
    </cfRule>
  </conditionalFormatting>
  <conditionalFormatting sqref="A3:I3">
    <cfRule type="cellIs" dxfId="12" priority="688" operator="equal">
      <formula>"LIQUIDADO"</formula>
    </cfRule>
  </conditionalFormatting>
  <conditionalFormatting sqref="A2:AD2 AK2:XFD2 P3:Z3 O3:O7 AA3:AA48 AE6:AG7 AD13 U13:W16 AE13:AE17">
    <cfRule type="cellIs" dxfId="11" priority="689" operator="equal">
      <formula>"LIQUIDADO"</formula>
    </cfRule>
  </conditionalFormatting>
  <conditionalFormatting sqref="J3:L48">
    <cfRule type="cellIs" dxfId="10" priority="12" operator="equal">
      <formula>"LIQUIDADO"</formula>
    </cfRule>
  </conditionalFormatting>
  <conditionalFormatting sqref="O8:R48 AF9:AG48">
    <cfRule type="cellIs" dxfId="9" priority="14" operator="equal">
      <formula>"LIQUIDADO"</formula>
    </cfRule>
  </conditionalFormatting>
  <conditionalFormatting sqref="P4:R7">
    <cfRule type="cellIs" dxfId="8" priority="663" operator="equal">
      <formula>"LIQUIDADO"</formula>
    </cfRule>
  </conditionalFormatting>
  <conditionalFormatting sqref="S4:Y12">
    <cfRule type="cellIs" dxfId="7" priority="13" operator="equal">
      <formula>"LIQUIDADO"</formula>
    </cfRule>
  </conditionalFormatting>
  <conditionalFormatting sqref="X13:Y48">
    <cfRule type="cellIs" dxfId="6" priority="76" operator="equal">
      <formula>"LIQUIDADO"</formula>
    </cfRule>
  </conditionalFormatting>
  <conditionalFormatting sqref="Z4:Z20">
    <cfRule type="cellIs" dxfId="5" priority="1" operator="equal">
      <formula>"LIQUIDADO"</formula>
    </cfRule>
  </conditionalFormatting>
  <conditionalFormatting sqref="AB9:AC48">
    <cfRule type="cellIs" dxfId="4" priority="5" operator="equal">
      <formula>"LIQUIDADO"</formula>
    </cfRule>
  </conditionalFormatting>
  <conditionalFormatting sqref="AB3:AD7">
    <cfRule type="cellIs" dxfId="3" priority="650" operator="equal">
      <formula>"LIQUIDADO"</formula>
    </cfRule>
  </conditionalFormatting>
  <conditionalFormatting sqref="AB8:AG8">
    <cfRule type="cellIs" dxfId="2" priority="67" operator="equal">
      <formula>"LIQUIDADO"</formula>
    </cfRule>
  </conditionalFormatting>
  <conditionalFormatting sqref="AE2:AI5">
    <cfRule type="cellIs" dxfId="1" priority="645" operator="equal">
      <formula>"LIQUIDADO"</formula>
    </cfRule>
  </conditionalFormatting>
  <conditionalFormatting sqref="AI4:AI44">
    <cfRule type="cellIs" dxfId="0" priority="15" operator="equal">
      <formula>"LIQUIDADO"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Convenios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2026-05-13T15:43:09Z</dcterms:modified>
  <cp:category/>
  <cp:contentStatus/>
</cp:coreProperties>
</file>