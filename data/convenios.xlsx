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-2027" sheetId="1" r:id="rId5"/>
  </sheets>
  <definedNames>
    <definedName hidden="1" localSheetId="0" name="_xlnm._FilterDatabase">'2024-2027'!$A$1:$AS$110</definedName>
  </definedNames>
  <calcPr/>
</workbook>
</file>

<file path=xl/sharedStrings.xml><?xml version="1.0" encoding="utf-8"?>
<sst xmlns="http://schemas.openxmlformats.org/spreadsheetml/2006/main" count="1813" uniqueCount="747">
  <si>
    <t>VIGENCIA</t>
  </si>
  <si>
    <t>SUPERVISOR</t>
  </si>
  <si>
    <t>INDICADOR</t>
  </si>
  <si>
    <t>CLASIFICACIÓN</t>
  </si>
  <si>
    <t>CONVENIO</t>
  </si>
  <si>
    <t>MUNICIPIO</t>
  </si>
  <si>
    <t>CONVENIANTE EJECUTOR</t>
  </si>
  <si>
    <t>SUBREGION</t>
  </si>
  <si>
    <t>OBJETO</t>
  </si>
  <si>
    <t>NOMBRE VIAS PRIORIZADAS</t>
  </si>
  <si>
    <t>PLAZO INICIAL</t>
  </si>
  <si>
    <t>ALCANCE (m)</t>
  </si>
  <si>
    <t>ALCANCE (m2)</t>
  </si>
  <si>
    <t>APORTE DEPARTAMENTO</t>
  </si>
  <si>
    <t>APORTE MUNICIPIO</t>
  </si>
  <si>
    <t>VALOR TOTAL</t>
  </si>
  <si>
    <t>ADICIONES RECURSOS DEPARTAMENTO</t>
  </si>
  <si>
    <t>ADICIONES RECURSOS MUNICIPIO</t>
  </si>
  <si>
    <t>VALOR TOTAL CON ADICIONES</t>
  </si>
  <si>
    <t>ESTADO CONVENIO</t>
  </si>
  <si>
    <t>ESTADO OBRA</t>
  </si>
  <si>
    <t>FECHA DE SUSCRIPCIÓN</t>
  </si>
  <si>
    <t>FECHA DE ACTA DE INICIO</t>
  </si>
  <si>
    <t>FECHA DE TERMINACIÓN</t>
  </si>
  <si>
    <t>PRÓRROGA (MESES)</t>
  </si>
  <si>
    <t>SUSPENSIÓN(MESES)</t>
  </si>
  <si>
    <t>NUEVA FECHA DE TERMINACIÓN</t>
  </si>
  <si>
    <t>DIAS RESTANTES</t>
  </si>
  <si>
    <t>LONGITUD EJECUTADA (m)</t>
  </si>
  <si>
    <t>AREA EJECUTADA (m2)</t>
  </si>
  <si>
    <t>VALOR TOTAL DESEMBOLSADO</t>
  </si>
  <si>
    <t>VALOR TOTAL AUTORIZADO DEPARTAMENTO</t>
  </si>
  <si>
    <t>% EJECUCIÓN FÍSICA</t>
  </si>
  <si>
    <t>% EJECUCIÓN FINANCIERA (RECURSOS DEPARTAMENTO)</t>
  </si>
  <si>
    <t>OBSERVACIONES</t>
  </si>
  <si>
    <t>ACTUALIZACIÓN PÓLIZAS</t>
  </si>
  <si>
    <t>FECHA ACTA DE LIQUIDACIÓN</t>
  </si>
  <si>
    <t>RUTA LIQUIDACIÓN</t>
  </si>
  <si>
    <t>ACTUACIÓN JURÍDICA</t>
  </si>
  <si>
    <t>FASE DE COBRO (SI APLICA)</t>
  </si>
  <si>
    <t>TIPO OBLIGACIÓN (SI APLICA)</t>
  </si>
  <si>
    <t>VALOR OBLIGACIÓN (SI APLICA)</t>
  </si>
  <si>
    <t>ESTADO EXPEDIENTE</t>
  </si>
  <si>
    <t>FECHA ACTA DE CIERRE DE EXPEDIENTE</t>
  </si>
  <si>
    <t>REGISTRO FOTOGRÁFICO_ZIP</t>
  </si>
  <si>
    <t>CORREO SUPERVISOR</t>
  </si>
  <si>
    <t>DALIS MILENA HINCAPIE PIEDRAHITA</t>
  </si>
  <si>
    <t>AEROPUERTOS</t>
  </si>
  <si>
    <t>RECURSOS</t>
  </si>
  <si>
    <t>NECOCLÍ</t>
  </si>
  <si>
    <t>URABÁ</t>
  </si>
  <si>
    <t>EL DEPARTAMENTO DE ANTIOQUIA COFINANCIA CON RECURSOS ECONÓMICOS AL MUNICIPIO DE NECOCLI EN EL URABA ANTIOQUEÑO, PARA QUE ESTE LLEVE A CABO LA CONSTRUCCION DE LA TERMINAL AEROPORTARIA DEL MUNICIPIO</t>
  </si>
  <si>
    <t xml:space="preserve">CONSTRUCCION DE VÍA QUE CONDUCE A LA TERMINAL AEROPORTARIA DE NECOCLÍ Y OBRAS COMPLEMENTARIAS EN LA TERMINAL
</t>
  </si>
  <si>
    <t>POR LIQUIDAR</t>
  </si>
  <si>
    <t xml:space="preserve">
28/10/2024el convenio suscrito con  el departamento para las obras complementarias del aeropuero de necoclí esta en el 100% de su ejecución,  no obstante el municipio con recursos propios se encuentra realizando gestión para el mantenimiento de la terminal y las adecuaciones de la pista de aterrizaje con el objetivo de iniciar la operación del aeropuerto.</t>
  </si>
  <si>
    <t>ACTA DE INICIO</t>
  </si>
  <si>
    <t>PENDIENTE</t>
  </si>
  <si>
    <t>NO APLICA</t>
  </si>
  <si>
    <t>VIGÍA DEL FUERTE</t>
  </si>
  <si>
    <t>AUNAR ESFUERZOS ENTRE EL DEPARTAMENTO DE ANTIOQUIA Y EL MUNICIPIO DE VIGÍA DEL FUERTE PARA LA EJECUCIÓN DE OBRAS COMPLEMENTARIAS DEL AEROPUERTO
EN EL MUNICIPIO ASOCIADO</t>
  </si>
  <si>
    <t>AEROPUERTO VIGÍA DEL FUERTE</t>
  </si>
  <si>
    <t>11/12/2024 adición por $619.055.213
05/03/2025 TERMINÓ EL 12/01/2025, 
15/07/2025 MISMO ESTADO
08/10/2025 Se realizó la visita por parte del supervisor, se esta a la espera del informe final de ejecucón de la obra por parte del municipio
20/04/2026 mismo estado</t>
  </si>
  <si>
    <t>YULIANA SANCHEZ MONTOYA</t>
  </si>
  <si>
    <t>RVT</t>
  </si>
  <si>
    <t>MATERIALES</t>
  </si>
  <si>
    <t>24AS111B2057</t>
  </si>
  <si>
    <t>BETANIA</t>
  </si>
  <si>
    <t>SUROESTE</t>
  </si>
  <si>
    <t>"APOYAR AL MUNICIPIO DE BETANIA, CON EL SUMINISTRO DE MATERIALES POR PARTE DEL DEPARTAMENTO DE ANTIOQUIA PARA LLEVAR A CABO EL MEJORAMIENTO DE VÍAS TERCIARIAS UBICADAS EN EL MUNICIPIO ASOCIADO"</t>
  </si>
  <si>
    <t>CORDILLERA-C-E- CORDILLERA
GUINTAR- LA CHUSCALITA
LA CEJITA-VALERIO
LA CEJITA-EL POPAL
MONTERREDONDO-PALO BLANCO
MONTERREDONDO-CHOCLINA</t>
  </si>
  <si>
    <t>EN EJECUCIÓN</t>
  </si>
  <si>
    <t>06/10/2025 Prorroga aprobada 2 meses hasta el 8 de diciembre
11/12/2025 Se prorrogó por 1 mes y 23 dias, hasta el 15 de enero 2026
18/12/2025 avance de obra 30%
26/01/2026 Se prorrogó por 1 mes y 15 dias, hasta el 3 de marzo
10/03/2026 SUSPENDIDO por 1 mes y 20 dias, hasta el 24 de abril, nueva fecha de terminación 29 de abril de 2026
11/05/2026 PRORROGA POR 3 MESE, nueva fecha de terminación 30/07/2026</t>
  </si>
  <si>
    <t>24AS111B2055</t>
  </si>
  <si>
    <t>ZARAGOZA</t>
  </si>
  <si>
    <t>BAJO CAUCA</t>
  </si>
  <si>
    <t>"APOYAR AL MUNICIPIO DE ZARAGOZA, CON EL SUMINISTRO DE MATERIALES POR PARTE DEL DEPARTAMENTO DE ANTIOQUIA PARA LLEVAR A CABO EL MEJORAMIENTO DE VÍAS TERCIARIAS UBICADAS EN EL MUNICIPIO ASOCIADO"</t>
  </si>
  <si>
    <t>TRAMO 1 VÍA LOS CHIVOS-PATOS
TRAMO 2 VÍA LOS CHIVOS-PATOS</t>
  </si>
  <si>
    <t xml:space="preserve">31/03/2025 no han solicitado materiales, municipio se encuentra en contratación 
12/05/2025 no han contratado
23/05/2025 El municipio no presenta documentación de contratación, se le envia oficio No 2025030152687 de 14/05/2025
10/06/2025 se les envia informes, oficios correos, NO RESPONDEN 	
27/06/2025 mismo estado
29/07/2025 Se envia acta de terminación
20/08/2025 no han firmado el acta de terminación
</t>
  </si>
  <si>
    <t>ROMAN DARIO FRANCO GRANDA</t>
  </si>
  <si>
    <t>24AS111B2021</t>
  </si>
  <si>
    <t>MACEO</t>
  </si>
  <si>
    <t>MAGDALENA MEDIO</t>
  </si>
  <si>
    <t>"APOYAR AL MUNICIPIO DE MACEO, CON EL SUMINISTRO DE MATERIALES POR PARTE DEL DEPARTAMENTO DE ANTIOQUIA PARA LLEVAR A CABO EL MEJORAMIENTO DE VÍAS TERCIARIAS UBICADAS EN EL MUNICIPIO ASOCIADO"</t>
  </si>
  <si>
    <t xml:space="preserve">VÍA SAN PEDRO
VEREDA TRES PIEDRAS (LA CRISTALINA)
LA FLORESTA SAN MARTIN
TRES PIEDRAS-SAN CIPRIANO
ALTO DE DOLORES-SAN ANTONIO
TRES PIEDRAS-LA LONDRA-EL INGENIO
SAN LAUREANO - SAN LUCAS- SAN CIPRIANO
</t>
  </si>
  <si>
    <t>10/06/2025 se les envio todo el material, terminan contra liquidación, 
20/06/2025 Avance de obra 50%, pendiente visita a campo por parte del supervisor
20/08/2025 avance de obra 90%
05/02/2026  Avance de obra 92%</t>
  </si>
  <si>
    <t>24AS111B2030</t>
  </si>
  <si>
    <t>PUERTO TRIUNFO</t>
  </si>
  <si>
    <t>"APOYAR AL MUNICIPIO DE PUERTO TRIUNFO, CON EL SUMINISTRO DE MATERIALES POR PARTE DEL DEPARTAMENTO DE ANTIOQUIA PARA LLEVAR A CABO EL MEJORAMIENTO DE VÍAS TERCIARIAS UBICADAS EN EL MUNICIPIO ASOCIADO"</t>
  </si>
  <si>
    <t xml:space="preserve">ARBOLETES Y HORIZONTES, CORREGIMIENTO DE PUERTO PERALES
</t>
  </si>
  <si>
    <t>27/08/2025 terminado100%, por liquidar</t>
  </si>
  <si>
    <t>cristian.quiramahenao@gmail.com</t>
  </si>
  <si>
    <t>24AS111B2017</t>
  </si>
  <si>
    <t>VEGACHÍ</t>
  </si>
  <si>
    <t>NORDESTE</t>
  </si>
  <si>
    <t>"APOYAR AL MUNICIPIO DE VEGACHÍ, CON EL SUMINISTRO DE MATERIALES POR PARTE DEL DEPARTAMENTO DE ANTIOQUIA PARA LLEVAR A CABO EL MEJORAMIENTO DE VÍAS TERCIARIAS UBICADAS EN EL MUNICIPIO ASOCIADO"</t>
  </si>
  <si>
    <t>SEIRRA BAJA
LA GALLINERA-EL CASCAJO</t>
  </si>
  <si>
    <t xml:space="preserve">
15/08/2025 solo han solicitado cemento equivalente al 9,75% del total de los materiales, reportan avance de obra del 40%, están pendientes de solicitar prorroga 
17/09/2025 se les envio la Última entrega de materiales, 70% avance de obra, pendiente visita a campo para verificar obra
29/09/2025 avance de obra 80% r</t>
  </si>
  <si>
    <t>24AS111B2069</t>
  </si>
  <si>
    <t>YALÍ</t>
  </si>
  <si>
    <t>"APOYAR AL MUNICIPIO DE YALÍ, CON EL SUMINISTRO DE MATERIALES POR PARTE DEL DEPARTAMENTO DE ANTIOQUIA PARA LLEVAR A CABO EL MEJORAMIENTO DE VÍAS TERCIARIAS UBICADAS EN EL MUNICIPIO ASOCIADO"</t>
  </si>
  <si>
    <t>YALÍ-VEREDA VILLANITA
SAN MAURICIO-FINCA SAN MAURICIO
EL ZANCUDO
HATILLO-CASAMORA
YALÍ-VEREDA HATILLO
LA UNIÓN-BELGICA
PUERTO ESTAFA-LA MARIANA</t>
  </si>
  <si>
    <t>24/04/2026 Avance de obra 85%</t>
  </si>
  <si>
    <t>24AS111B2031</t>
  </si>
  <si>
    <t>YOLOMBÓ</t>
  </si>
  <si>
    <t>"APOYAR AL MUNICIPIO DE YOLOMBÓ, CON EL SUMINISTRO DE MATERIALES POR PARTE DEL DEPARTAMENTO DE ANTIOQUIA PARA LLEVAR A CABO EL MEJORAMIENTO DE VÍAS TERCIARIAS UBICADAS EN EL MUNICIPIO ASOCIADO"</t>
  </si>
  <si>
    <t>LA CHAZA-LOS ALPES
LA CRUZ
CACHUMBAL
PANTANILLO
PARAJE LA MARIA-EL CAIRO
VÍA LA FLORESTA-LA CEIBA
LAS MARGARITAS-BARBASCAL
YOLOMBÓ- CUATRO ESQUINAL
PARAJE LA CHAZA EL COMINO
PARAJE LA CHAZA LAS FRIAS
EL HORMIGUERO-BAREÑO
VÍA TRONCAL NORDESTE
ALTO DE MENDEZ-LOS ACEITES
VÍA SANTA ANA-BELGICA</t>
  </si>
  <si>
    <t xml:space="preserve">30/04/2025 se hizo la primera entrega de materiales  el 23 de abril
10/06/2025 Avance de obra 15%
18/09/2025 solicitaron prorroga por 3 meses
23/09/2025 esta para COS
30/09/2025 Se prorrogó por 3 meses mas hasta el 29/12/2025
24/04/2026 avance de obra 70%, por liquidar
</t>
  </si>
  <si>
    <t>RVU</t>
  </si>
  <si>
    <t>CONCEPCIÓN</t>
  </si>
  <si>
    <t>ORIENTE</t>
  </si>
  <si>
    <t>ARTICULAR Y COORDINAR ESFUERZOS ENTRE EL DEPARTAMENTO DE
ANTIOQUIA Y EL MUNICIPIO DE CONCEPCIÓN PARA EL MEJORAMIENTO DE LA VÍA LOS
POMOS, EN EL MUNICIPIO DE CONCEPCIÓN, DEPARTAMENTO DE ANTIOQUIA.</t>
  </si>
  <si>
    <t xml:space="preserve">via los pomos </t>
  </si>
  <si>
    <t>11/07/2025 recursos 100% en el IDEA, avance de obra 40%
13/08/2025 avance de obra 71%, termina en el tiempo estipulado
25/09/2025 terminado 100%, por liquida</t>
  </si>
  <si>
    <t>NATALIA GÓMEZ ISAZA</t>
  </si>
  <si>
    <t>24AS111B2026</t>
  </si>
  <si>
    <t>ANZA</t>
  </si>
  <si>
    <t>OCCIDENTE</t>
  </si>
  <si>
    <t>"APOYAR AL MUNICIPIO DE ANZÁ, CON EL SUMINISTRO DE MATERIALES POR PARTE DEL DEPARTAMENTO DE ANTIOQUIA PARA LLEVAR A CABO EL MEJORAMIENTO DE VÍAS TERCIARIAS UBICADAS EN EL MUNICIPIO ASOCIADO"</t>
  </si>
  <si>
    <t xml:space="preserve">
12/08/2025 prorroga por 3 meses, termina el 03/11/2025
18/12/2025 avace de obra 90%
10/04/2026 Pendiente visita a campo</t>
  </si>
  <si>
    <t>24AS111B2027</t>
  </si>
  <si>
    <t>HELICONIA</t>
  </si>
  <si>
    <t>"APOYAR AL MUNICIPIO DE HELICONIA, CON EL SUMINISTRO DE MATERIALES POR PARTE DEL DEPARTAMENTO DE ANTIOQUIA PARA LLEVAR A CABO EL MEJORAMIENTO DE VÍAS TERCIARIAS UBICADAS EN EL MUNICIPIO ASOCIADO"</t>
  </si>
  <si>
    <t>ALTO DEL CORRAL
PUEBLITO
HATILLO</t>
  </si>
  <si>
    <t xml:space="preserve">
20/11/2025 se entregó todo el material
25/11/2025 pendiente liquidar
TERMINADO 100%</t>
  </si>
  <si>
    <t>24AS111B1732</t>
  </si>
  <si>
    <t>OLAYA</t>
  </si>
  <si>
    <t>APOYAR AL MUNICIPIO DE OLAYA, CON EL SUMINISTRO DE MATERIALES POR PARTE DEL DEPARTAMENTO DE ANTIOQUIA PARA LLEVAR A CABO EL MEJORAMIENTO DE VÍAS TERCIARIAS UBICADAS EN
EL MUNICIPIO ASOCIADO</t>
  </si>
  <si>
    <t>SUCRE - VDA EL GUAYABO
OLAYA - VDA EL PENCAL
BADAJOZ- EL PALMAR 
LLANADAS-LOPERA</t>
  </si>
  <si>
    <t xml:space="preserve">09/05/2025 dificultad para terminar obra por ola invernal
10/06/2025 pendiente terminar las cunetas, avance de obra 98%
03/07/2025 el 17 de julio se realizará visita final para verificar la ejecución del 100%
30/09/2025 terminado 100%, por liquidar
</t>
  </si>
  <si>
    <t>24AS111B2032</t>
  </si>
  <si>
    <t>SAN JERÓNIMO</t>
  </si>
  <si>
    <t>"APOYAR AL MUNICIPIO DE SAN JERÓNIMO, CON EL SUMINISTRO DE MATERIALES POR PARTE DEL DEPARTAMENTO DE ANTIOQUIA PARA LLEVAR A CABO EL MEJORAMIENTO DE VÍAS TERCIARIAS UBICADAS EN EL MUNICIPIO ASOCIADO"</t>
  </si>
  <si>
    <t>LOS CEDROS
BUENOS AIRES PARTE BAJA
CALVARIO
CABUYAL
VELIGUARÍN
CIENAGA
PESQUINAL</t>
  </si>
  <si>
    <t>16/05/2025 prorroga por 2 meses hasta el 22 julio 2025
27/06/2025 Autorización de ultimo pedido
03/07/2025 pendiente visita a campo para verificar obra, avance de obra 80%
30/09/2025 TERMINADO 100%, por liquidar</t>
  </si>
  <si>
    <t>24AS111B2034</t>
  </si>
  <si>
    <t>SANTA FE DE ANTIOQUIA</t>
  </si>
  <si>
    <t>"APOYAR AL MUNICIPIO DE SANTA FE DE ANTIOQUIA, CON EL SUMINISTRO DE MATERIALES POR PARTE DEL DEPARTAMENTO DE ANTIOQUIA PARA LLEVAR A CABO EL MEJORAMIENTO DE VÍAS TERCIARIAS UBICADAS EN EL MUNICIPIO ASOCIADO"</t>
  </si>
  <si>
    <t>SABANALES
LA TOLDA
LA MILAGROSA
EL CHURIMBO
LAS AZULES
COLORADAS
SAN CARLOS EL MORRO
RAMAL SAN CARLOS
CATIVO
EL ESPINAL
EL RODEO</t>
  </si>
  <si>
    <t>27/06/2025 Autorización de ultimo pedido
03/07/2025 pendiente visita a campo para verificar obra
avance de obra 60%
30/09/2025 TERMINADO 100%, por liquida</t>
  </si>
  <si>
    <t>MARGARITA ROSA LOPERA DUQUE</t>
  </si>
  <si>
    <t>24AS111B2059</t>
  </si>
  <si>
    <t>FREDONIA</t>
  </si>
  <si>
    <t>"APOYAR AL MUNICIPIO DE FREDONIA, CON EL SUMINISTRO DE MATERIALES POR PARTE DEL DEPARTAMENTO DE ANTIOQUIA PARA LLEVAR A CABO EL MEJORAMIENTO DE VÍAS TERCIARIAS UBICADAS EN EL MUNICIPIO ASOCIADO"</t>
  </si>
  <si>
    <t>EL CARRETERO PARTE ALTA
SABANALES-EL PLAN
CORDILLERA
EL PORVENIR
EL CALVARIO</t>
  </si>
  <si>
    <t xml:space="preserve">20/08/2025 prorroga #1 por 2 meses, nueva fecha de terminación el 22/10/2025 
22/10/2025 Acta de terminación
22/01/2025 se realizo visita técnica y se constato el 100% de ejecución fisica, sin embargo, se identifican aspectos puntuales que requieren atención inmediata para la liquidación.
25/02/2025 primera solicitud de documentos para liquidar
</t>
  </si>
  <si>
    <t>24AS111B2022</t>
  </si>
  <si>
    <t>MONTEBELLO</t>
  </si>
  <si>
    <t>"APOYAR AL MUNICIPIO DE MONTEBELLO, CON EL SUMINISTRO DE MATERIALES POR PARTE DEL DEPARTAMENTO DE ANTIOQUIA PARA LLEVAR A CABO EL MEJORAMIENTO DE VÍAS TERCIARIAS UBICADAS EN EL MUNICIPIO ASOCIADO"</t>
  </si>
  <si>
    <t>LOS PINOS
LA PEÑA-LOS PINOS
LOS PINOS-LA TRINIDAD
EL ENCENILLO-LA CAMELIA T1
EL ENCENILLO-LA CAMELIA T2</t>
  </si>
  <si>
    <t xml:space="preserve">15/05/2025 no han iniciado obra, argumentan el dia 14 de mayo, que por la ola invernal no han podido iniciar, se les envia correo reiterando que si las vias a intervenir no estan afectadas por la calamidad, este debe ser iniciado ya que el convenio no tendrá prorroga
17/09/2025 PRORROGA por 2 meses, nueva fecha de terminación 15/11/2025 13/11/2025 Se realizó visita técnica.
18/11/2025 se realizó acta de terminación
25/02/2025 primera solicitud de documentos para liquidar
</t>
  </si>
  <si>
    <t>24AS111B2033</t>
  </si>
  <si>
    <t>SANTA BARBARA</t>
  </si>
  <si>
    <t>"APOYAR AL MUNICIPIO DE SANTA BÁRBARA, CON EL SUMINISTRO DE MATERIALES POR PARTE DEL DEPARTAMENTO DE ANTIOQUIA PARA LLEVAR A CABO EL MEJORAMIENTO DE VÍAS TERCIARIAS UBICADAS EN EL MUNICIPIO ASOCIADO"</t>
  </si>
  <si>
    <t>VÍA VEREDA LA ESPERANZA
VÍA QUIEBRA-CORDONCILLO</t>
  </si>
  <si>
    <t>11/07/2025 APROBADA prorroga por 3 meses hasta el 17/10/2025 acta de terminación 
02/09/2025 se realizó visita técnica
17/10/2025 se realizo acta de terminación
25/02/2025 primera solicitud de documentos para liquidar</t>
  </si>
  <si>
    <t>24AS111B2051</t>
  </si>
  <si>
    <t>TARSO</t>
  </si>
  <si>
    <t>"APOYAR AL MUNICIPIO DE TARSO, CON EL SUMINISTRO DE MATERIALES POR PARTE DEL DEPARTAMENTO DE ANTIOQUIA PARA LLEVAR A CABO EL MEJORAMIENTO DE VÍAS TERCIARIAS UBICADAS EN EL MUNICIPIO ASOCIADO"</t>
  </si>
  <si>
    <t>DIVINO NIÑO
EL BIZCOCHO
LOS MOLINA</t>
  </si>
  <si>
    <t xml:space="preserve">
Se entregó todo el material, obra 100%
pendiente liquidar
25/02/2025 primera solicitud de documentos para liquidar</t>
  </si>
  <si>
    <t>JULIANA MEJÍA BRAVO</t>
  </si>
  <si>
    <t>24AS111B2050</t>
  </si>
  <si>
    <t>CAMPAMENTO</t>
  </si>
  <si>
    <t>NORTE</t>
  </si>
  <si>
    <t>"APOYAR AL MUNICIPIO DE CAMPAMENTO, CON EL SUMINISTRO DE MATERIALES POR PARTE DEL DEPARTAMENTO DE ANTIOQUIA PARA LLEVAR A CABO EL MEJORAMIENTO DE VÍAS TERCIARIAS UBICADAS EN EL MUNICIPIO ASOCIADO"</t>
  </si>
  <si>
    <t>VÍA EL MAZANILLO-EL BRAZO
PLAN DE LA ROSA (VÍA ANORÍ, SAN ROQUE)
CAMPAMENO-ALTO MANZANILLO
RIO SAN JOSÉ-LA POLKA
EL DIEZ-NORIZAL
NORIZAL-RIO SAN JOSÉ</t>
  </si>
  <si>
    <t xml:space="preserve">30/01/2026 avance de obra 80%, por liquidar, con acta de inicio
24/04/2026 Pendiente visita a campo para verificar ejecución de obra
26/05/2026 pendiente de verificar obra </t>
  </si>
  <si>
    <t>24AS111B1728</t>
  </si>
  <si>
    <t>CIUDAD BOLIVAR</t>
  </si>
  <si>
    <t>APOYAR AL MUNICIPIO CIUDAD BOLIVAR, CON EL SUMINISTRO DE MATERIALES POR PARTE DEL DEPARTAMENTO DE ANTIOQUIA PARA LLEVAR A CABO EL MEJORAMIENTO DE VÍAS TERCIARIAS
UBICADAS EN EL MUNICIPIO ASOCIADOUBICADAS EN EL MUNICIPIO ASOCIADO</t>
  </si>
  <si>
    <t>SAMARIA - EL AGUILA - ALFONSO LOPEZ   
LA LINDA EL DOS                                          
LA ANGOSURA PARTE MEDIA                      
EL MANZANILLO 
ALTO DE LOS JARAMILLOS 
LOS CORRALES BUENA VISTA</t>
  </si>
  <si>
    <t xml:space="preserve"> Se entrega el 100% de materiales 
POR LIQUIDAR TERMINADO 100%
</t>
  </si>
  <si>
    <t>24AS111B2025</t>
  </si>
  <si>
    <t>COPACABANA</t>
  </si>
  <si>
    <t>VALLE DE ABURRÁ</t>
  </si>
  <si>
    <t>"APOYAR AL MUNICIPIO DE COPACABANA, CON EL SUMINISTRO DE MATERIALES POR PARTE DEL DEPARTAMENTO DE ANTIOQUIA PARA LLEVAR A CABO EL MEJORAMIENTO DE VÍAS TERCIARIAS UBICADAS EN EL MUNICIPIO ASOCIADO"UBICADAS EN EL MUNICIPIO ASOCIADO</t>
  </si>
  <si>
    <t xml:space="preserve">PARAJE-SALINAS
VÍA EL CALLEJÓN
VÍA ZARZAL LA LUZ-AUTOPISTA
VÍA ESCUELA-EL MORRO
           </t>
  </si>
  <si>
    <t xml:space="preserve">
13/08/2025 solicitan prorroga por 98 dias, y modificación del valor del convenio por $379.400.000 y reducción de alcance a 1,084 km
27/08/2025 Se aprobó prorroga por 96 dias, termina el 30/11/2025
24/09/2025 avance de obra 40%
08/10/2025 Esta en CIC para modificación de valor y alcance
solicitaron segundo pedido de materiales
04/12/2025 TERMINADO en 61,29% ejecución fisica y 61,29% financiera
24/04/2026 Por liquidar</t>
  </si>
  <si>
    <t>24AS111B2043</t>
  </si>
  <si>
    <t>GOMEZ PLATA</t>
  </si>
  <si>
    <t>"APOYAR AL MUNICIPIO DE GOMEZ PLATA, CON EL SUMINISTRO DE MATERIALES POR PARTE DEL DEPARTAMENTO DE ANTIOQUIA PARA LLEVAR A CABO EL MEJORAMIENTO DE VÍAS TERCIARIAS UBICADAS EN EL MUNICIPIO ASOCIADO"</t>
  </si>
  <si>
    <t>EL SALTO-LA CONTRATA
CHILIMACO
VEGABOTERO</t>
  </si>
  <si>
    <t>29/08/2025 prorroga aprobada por 3 meses, nueva fecha de terminación 29/11/2025
TERMINADO, por liquidar</t>
  </si>
  <si>
    <t xml:space="preserve">JULIANA GÓMEZ ECHAVARRÍA </t>
  </si>
  <si>
    <t>24AS111B1737</t>
  </si>
  <si>
    <t>SAN FRANCISCO</t>
  </si>
  <si>
    <t>APOYAR AL MUNICIPIO DE SAN FRANCISCO, CON EL SUMINISTRO DE MATERIALES POR PARTE DEL DEPARTAMENTO DE ANTIOQUIA PARA LLEVAR A CABO EL MEJORAMIENTO DE VÍAS TERCIARIAS
UBICADAS EN EL MUNICIPIO ASOCIADO</t>
  </si>
  <si>
    <t>ZONA URBANA-VEREDA LA VENTANA</t>
  </si>
  <si>
    <t>29/01/2025 Terminado 100% pendiente por liquidar</t>
  </si>
  <si>
    <t>24AS111B1776</t>
  </si>
  <si>
    <t>ALEJANDRÍA</t>
  </si>
  <si>
    <t>APOYAR AL MUNICIPIO DE ALEJANDRIA, CON EL SUMINISTRO DE MATERIALES POR PARTE DEL DEPARTAMENTO DE ANTIOQUIA PARA LLEVAR A CABO EL MEJORAMIENTO DE VÍAS TERCIARIAS
UBICADAS EN EL MUNICIPIO ASOCIADO</t>
  </si>
  <si>
    <t>VÍA SAN LORENZO
VIA CHIRRILLAS – CAÑADAHONDA
EL POPO - EL RESPALDO
VIA MONTELORO
VÍA ESCUELA SAN MIGUEL
VÍA ALEJANDRÍA-EL CARBÓN - ALTO DE BANDERAS
VÍA A LA PAVA
VIA PIEDRAS ABAJO-CANCHA</t>
  </si>
  <si>
    <t>JULIANA GÓMEZ ECHAVARRÍA</t>
  </si>
  <si>
    <t>24AS111B2011</t>
  </si>
  <si>
    <t>GRANADA</t>
  </si>
  <si>
    <t>"APOYAR AL MUNICIPIO DE GRANADA, CON EL SUMINISTRO DE MATERIALES POR PARTE DEL DEPARTAMENTO DE ANTIOQUIA PARA LLEVAR A CABO EL MEJORAMIENTO DE VÍAS TERCIARIAS UBICADAS EN EL MUNICIPIO ASOCIADO"</t>
  </si>
  <si>
    <t>RAMAL ESCUELA EL EDÉN HASTA EL CRUCERO
RAMAL VÍA GALILIA-LA CASCADA
RAMAL LA MARIA- ALTO DE SAN MATIAS
RAMAL QUEBRADONA-GRUPO COMUNITARIO
RAMAL TAFETANES-SAN MIGUEL
RAMAL VEREDA LA AURORA</t>
  </si>
  <si>
    <t>19/11/2025 se entregó todo el material
18/12/2025 avance de obra 40%
05/02/2026 avance de obra 50%
24/04/2026 avance de obra 95%, pendiente informe final y visita a campo</t>
  </si>
  <si>
    <t>24AS111B1726</t>
  </si>
  <si>
    <t>GUARNE</t>
  </si>
  <si>
    <t>APOYAR AL MUNICIPIO GUARNE, CON EL SUMINISTRO DE MATERIALES POR PARTE DEL DEPARTAMENTO DE ANTIOQUIA PARA LLEVAR A CABO EL MEJORAMIENTO DE VÍAS TERCIARIAS
UBICADAS EN EL MUNICIPIO ASOCIADO</t>
  </si>
  <si>
    <t>AUTOPISTA -EL MOLINO
ANILLO VIAL LA CLARITA- GUAPANTE
BELLAVISTA-CHAPARRAL
LA HONDA BARRO BLANCO (TRAMO 1)
LA HONDA BARRO BLANCO (TRAMO 2)
VÍA LAS ESQUINELA RATÓN PELAO
AUTOPISTA- SIERRA LINDA- LA PASTORCITA
ANILLO VIAL SAN IGNACIO (TRAMO 1)
ANILLO VIAL SAN IGNACIO (TRAMO 2)</t>
  </si>
  <si>
    <t>24AS111B1727</t>
  </si>
  <si>
    <t>MARINILLA</t>
  </si>
  <si>
    <t>APOYAR AL MUNICIPIO MARINILLA, CON EL SUMINISTRO DE MATERIALES POR PARTE DEL DEPARTAMENTO DE ANTIOQUIA PARA LLEVAR A CABO EL MEJORAMIENTO DE VÍAS TERCIARIAS
UBICADAS EN EL MUNICIPIO ASOCIADO</t>
  </si>
  <si>
    <t>VÍA LA PEÑA - EL ROSARIO - EL PORVENIR
VÍA ALTO DE CHOCHO – MONTAÑITA
VÍA MARINILLA NUEVO PEÑOL -ALTO DEL MERCADO- SANTA CRUZ ALTO EL CHOCHO VDA SANTA CRUZ
VÍA MARINILLA NUEVO PEÑOL                    EL ROSARIO LA PEÑA
VÍA MARINILLA NUEVO PEÑOL -SALTO ABAJO EL PORVENIR VÍA NUEVO PEÑOL
VÍA MARINILLA NUEVO PEÑOL -ALTO DEL MERCADO- SANTA CRUZ ALTO EL CHOCHO VDA ALTO DEL MERCADO</t>
  </si>
  <si>
    <t>24AS111B2056</t>
  </si>
  <si>
    <t xml:space="preserve">VÍA MARINILLA NUEVO PEÑOL-SALTO ABAHO EL PORVENIR
VÍA ALTO DEL MERCADO EL SOCORRO
VÍA DON DIEGO RIONEGRO MARINILLA
VEREDA LA PRIMAVERA
ALTO DE BELÉN-AUTOPISTA MEDELLIN BOGOTÁ
VÍA CHORROMAYO
VÍA SALTO ARRIBA-SAN VICENTE
VÍA MONTAÑITA-LOS ALPES
</t>
  </si>
  <si>
    <t>03/07/2025 Se les envio todo el material, avance de obra 70%
29/07/2025 a la espera que envien el acta de terminación firmada</t>
  </si>
  <si>
    <t>24AS111B2036</t>
  </si>
  <si>
    <t>RIONEGRO</t>
  </si>
  <si>
    <t>"APOYAR AL MUNICIPIO DE RIONEGRO, CON EL SUMINISTRO DE MATERIALES POR PARTE DEL DEPARTAMENTO DE ANTIOQUIA PARA LLEVAR A CABO EL MEJORAMIENTO DE VÍAS TERCIARIAS UBICADAS EN EL MUNICIPIO ASOCIADO"UBICADAS EN EL MUNICIPIO ASOCIADO</t>
  </si>
  <si>
    <t>DESISITIO</t>
  </si>
  <si>
    <t>DESISTIO</t>
  </si>
  <si>
    <t>DESISTIO
25/04/2025 acta de terminación anticipada firmada el 25/04/2025
POR LIQUIDAR</t>
  </si>
  <si>
    <t>24AS111B2035</t>
  </si>
  <si>
    <t>SAN LUIS</t>
  </si>
  <si>
    <t>"APOYAR AL MUNICIPIO DE SAN LUIS, CON EL SUMINISTRO DE MATERIALES POR PARTE DEL DEPARTAMENTO DE ANTIOQUIA PARA LLEVAR A CABO EL MEJORAMIENTO DE VÍAS TERCIARIAS UBICADAS EN EL MUNICIPIO ASOCIADO"</t>
  </si>
  <si>
    <t xml:space="preserve">VÍA SAN LUIS-EL OLIVO
VIA LA HABANA
VIA SAN LUIS-CUBA
EL POPAL
</t>
  </si>
  <si>
    <t>24/04/2026 avance de obra 95%, pendiente vista a campo para verificar ejecución y obra y poder liquidar</t>
  </si>
  <si>
    <t>JUAN PABLO DELGADO JIMENEZ</t>
  </si>
  <si>
    <t>24AS111B2060</t>
  </si>
  <si>
    <t>CAÑASGORDAS</t>
  </si>
  <si>
    <t>"APOYAR AL MUNICIPIO DE CAÑASGORDAS, CON EL SUMINISTRO DE MATERIALES POR PARTE DEL DEPARTAMENTO DE ANTIOQUIA PARA LLEVAR A CABO EL MEJORAMIENTO DE VÍAS TERCIARIAS UBICADAS EN EL MUNICIPIO ASOCIADO"</t>
  </si>
  <si>
    <t>MACANAL
LA ESTRELLA
LA LLORONA
MOROTO
PASO ARRIBA
LA AGUADA
LA MANGA
SAN PASCUAL
LA MALENA
LA BALSA
EL CANELO</t>
  </si>
  <si>
    <t>10/06/2025 se les envio todo el material, reportan avance de obra del 50%
11/07/2025 municipio reporta avance de obra del 75%
30/07/2025 Se entregó el 100% de los materiales, avance de obra 95%
POR LIQUIDAR</t>
  </si>
  <si>
    <t>24AS111B2038</t>
  </si>
  <si>
    <t>DABEIBA</t>
  </si>
  <si>
    <t>"APOYAR AL MUNICIPIO DE DABEIBA, CON EL SUMINISTRO DE MATERIALES POR PARTE DEL DEPARTAMENTO DE ANTIOQUIA PARA LLEVAR A CABO EL MEJORAMIENTO DE VÍAS TERCIARIAS UBICADAS EN EL MUNICIPIO ASOCIADO"</t>
  </si>
  <si>
    <t xml:space="preserve">VÍA DABEIBA VIEJO_ EL MOHAN
VÍA URAMA-SAN IGNACIO
           </t>
  </si>
  <si>
    <t>13/08/2025 terminado 100%, por liquidarr</t>
  </si>
  <si>
    <t>JHOAN SEBASTIAN SALAZAR</t>
  </si>
  <si>
    <t>24AS111B2010</t>
  </si>
  <si>
    <t>AMAGÁ</t>
  </si>
  <si>
    <t>APOYAR AL MUNICIPIO DE AMAGÁ, CON EL SUMINISTRO DE MATERIALES POR PARTE DEL DEPARTAMENTO DE ANTIOQUIA PARA LLEVAR A CABO EL MEJORAMIENTO DE VÍAS TERCIARIAS UBICADAS EN EL MUNICIPIO ASOCIADO</t>
  </si>
  <si>
    <t>LA QUIEBRA</t>
  </si>
  <si>
    <t xml:space="preserve">
28/03/2025 municipio solicitó terminación anticipada del convenio, el municipio realizará el alcance del proyecto con otra modalidad de cofinanciación. 
SIN ACTA DE TERMINACIÓN 
02/4/2025 terminación anticipada del convenio, acta de terminación del 31/03/2025, POR LIQUIDAR, DESISTIO
</t>
  </si>
  <si>
    <t>24AS111B2015</t>
  </si>
  <si>
    <t>EL BAGRE</t>
  </si>
  <si>
    <t>"APOYAR AL MUNICIPIO DE EL BAGRE, CON EL SUMINISTRO DE MATERIALES POR PARTE DEL DEPARTAMENTO DE ANTIOQUIA PARA LLEVAR A CABO EL MEJORAMIENTO DE VÍAS TERCIARIAS UBICADAS EN EL MUNICIPIO ASOCIADO"</t>
  </si>
  <si>
    <t>LUIS CANO-EL PERICO
EL BAGRE- EL REAL</t>
  </si>
  <si>
    <t xml:space="preserve">
23/05/2025 segunda entrega de materiales 15/08/2025 avance de obra 48%
20/08/2025 mismo estado
17/08/2025 se les autorizó el 64% de los materiales, se vencio el convenio sin solicitar prorroga, SE LES ENVIO ACTA DE TERMINACIÓN
24/04/2026 por liquidar al 64%</t>
  </si>
  <si>
    <t>24AS111B2014</t>
  </si>
  <si>
    <t>NECHÍ</t>
  </si>
  <si>
    <t>"APOYAR AL MUNICIPIO DE NECHÍ, CON EL SUMINISTRO DE MATERIALES POR PARTE DEL DEPARTAMENTO DE ANTIOQUIA PARA LLEVAR A CABO EL MEJORAMIENTO DE VÍAS TERCIARIAS UBICADAS EN EL MUNICIPIO ASOCIADO"</t>
  </si>
  <si>
    <t>NECHÍ-SANTA ANITA</t>
  </si>
  <si>
    <t>15/08/2025 Se entregó todo el material, avance de obra 63%, terminan en el tiempo estimado
17/09/2028 avance de obra 95%, se les envio acta de terminación 
23/09/2025 TERMINADO 100%, por liquidar</t>
  </si>
  <si>
    <t>24AS111B2063</t>
  </si>
  <si>
    <t>SALGAR</t>
  </si>
  <si>
    <t>"APOYAR AL MUNICIPIO DE SALGAR, CON EL SUMINISTRO DE MATERIALES POR PARTE DEL DEPARTAMENTO DE ANTIOQUIA PARA LLEVAR A CABO EL MEJORAMIENTO DE VÍAS TERCIARIAS UBICADAS EN EL MUNICIPIO ASOCIADO"</t>
  </si>
  <si>
    <t>VÍA CHUPADERO-HUMAREDA
VÍA CHAQUIRO-SIBERIA
VÍA VEREDA LA AMAGASENA</t>
  </si>
  <si>
    <t>08/07/2025 autorización de segunda entrega de materiales,avance de obra 26,6%
20/08/2025 Se autoriza la entrega del 100% de los materiales
18/09/2025 municipio recibio el material el 13/9/2025 
23/09/2025 se firmo acta de terminación ayer 22/09/2025</t>
  </si>
  <si>
    <t>JAIME ARTURO OSPINA GIRALDO</t>
  </si>
  <si>
    <t>24AS111B2042</t>
  </si>
  <si>
    <t>COCORNÁ</t>
  </si>
  <si>
    <t>"APOYAR AL MUNICIPIO DE COCORNÁ, CON EL SUMINISTRO DE MATERIALES POR PARTE DEL DEPARTAMENTO DE ANTIOQUIA PARA LLEVAR A CABO EL MEJORAMIENTO DE VÍAS TERCIARIAS UBICADAS EN EL MUNICIPIO ASOCIADO"</t>
  </si>
  <si>
    <t>AUTOPISTA - LAS MERCEDEZ
COCORNÁ-LA CHONTA
MOLINO-LAS PLAYAS
ZONA URBANA- VEREDA LOS POTREROS
AUTOPISTA- EL CIPRES
VEREDA SANTA BÁRBARA
LA PIÑUELA- ENTRA EL OCHO</t>
  </si>
  <si>
    <t xml:space="preserve">
29/05/2025  Tercera entrega de materiales 1/07/2025 avance obra 50%
17/09/2025 TERMINADO 100%</t>
  </si>
  <si>
    <t>24AS111B1750</t>
  </si>
  <si>
    <t>APOYAR AL MUNICIPIO DE  CONCEPCIÓN, CON EL SUMINISTRO DE MATERIALES POR PARTE DEL DEPARTAMENTO DE ANTIOQUIA PARA LLEVAR A CABO EL MEJORAMIENTO DE VÍAS TERCIARIAS
UBICADAS EN EL MUNICIPIO ASOCIADO</t>
  </si>
  <si>
    <t xml:space="preserve">FATIMA 				
RAMAL A SONADORA 		
ARANGO-LA PALMA 			
CONCEPCION - SANTA GERTRUDIS 	
SAN JUAN LLANO 			</t>
  </si>
  <si>
    <t>24AS111B2018</t>
  </si>
  <si>
    <t>EL PEÑOL</t>
  </si>
  <si>
    <t>VÍA LA HELIDA-EL CARMELO
EL MARIAL-PALMIRA LA HONDA
EL UVITAL-SECTOR COTRAFA
EL MARIAL-ESCUELA
CARMELO-SUBIENDO A LA ESCUELA
VÍA CONCORDIA- HACIA GRANADA
BONILLA-ENTRE SALON COMUNAL Y ESCUELA</t>
  </si>
  <si>
    <t>11/07/2025 se entregó todo el material
25/08/2025 avance de obra 95%
17/09/2025 Pendiente visita a campo para verificar la obra
29/09/2025 avance de obra 97%
TERMINADO 100%</t>
  </si>
  <si>
    <t>24AS111B2065</t>
  </si>
  <si>
    <t>EL RETIRO</t>
  </si>
  <si>
    <t>"APOYAR AL MUNICIPIO DE EL RETIRO, CON EL SUMINISTRO DE MATERIALES POR PARTE DEL DEPARTAMENTO DE ANTIOQUIA PARA LLEVAR A CABO EL MEJORAMIENTO DE VÍAS TERCIARIAS UBICADAS EN EL MUNICIPIO ASOCIADO"</t>
  </si>
  <si>
    <t>NAZARET-TABACAL-AMAPOLA
EL RETIRO-PANTALIO
EL MORRO</t>
  </si>
  <si>
    <t>29/05/2025 segunda entrega de materiales, avance de obra 40%
11/07/2025 avance de obra 70%11/07/2025 28/08/2025 avance de obra 80%
30/09/2025 avance de obra 85%</t>
  </si>
  <si>
    <t>24AS111B2008</t>
  </si>
  <si>
    <t>LA UNIÓN</t>
  </si>
  <si>
    <t>"APOYAR AL MUNICIPIO DE LA UNIÓN, CON EL SUMINISTRO DE MATERIALES POR PARTE DEL DEPARTAMENTO DE ANTIOQUIA PARA LLEVAR A CABO EL MEJORAMIENTO DE VÍAS TERCIARIAS UBICADAS EN EL MUNICIPIO ASOCIADO"</t>
  </si>
  <si>
    <t xml:space="preserve">VÍA BUENAVISTA-LAS BRISAS PUENTE TABLAS
VÍA CRUZ ROJA-CHALARCA
VÍA CRUZ ROLA-QUEBRADA MINITAS
VÍA SAN MIGUEL-SANTA CRUZ-LA HONDA
VÍA SAN MIGUEL-SANTA CRUZ-LA HONDA-LA CHUSMARINA
VÍA LAS TERESAS-LAS COLMENAS
</t>
  </si>
  <si>
    <t>11/07/2025 avance de obra 50% , segundo pedido de materiales
28/08/2025 avance de obra 81%
30/09/2025 Avance de obra 85%</t>
  </si>
  <si>
    <t>24AS111B1729</t>
  </si>
  <si>
    <t>NARIÑO</t>
  </si>
  <si>
    <t>APOYAR AL MUNICIPIO NARIÑO, CON EL SUMINISTRO DE MATERIALES POR PARTE DEL DEPARTAMENTO DE ANTIOQUIA PARA LLEVAR A CABO EL MEJORAMIENTO DE VÍAS TERCIARIAS UBICADAS EN
EL MUNICIPIO ASOCIADO</t>
  </si>
  <si>
    <t>NARIÑO-GUAMITO</t>
  </si>
  <si>
    <t xml:space="preserve">TERMINADO 100%, por liquidar
</t>
  </si>
  <si>
    <t>24AS111B2041</t>
  </si>
  <si>
    <t>SAN CARLOS</t>
  </si>
  <si>
    <t>"APOYAR AL MUNICIPIO DE SAN CARLOS, CON EL SUMINISTRO DE MATERIALES POR PARTE DEL DEPARTAMENTO DE ANTIOQUIA PARA LLEVAR A CABO EL MEJORAMIENTO DE VÍAS TERCIARIAS UBICADAS EN EL MUNICIPIO ASOCIADO"</t>
  </si>
  <si>
    <t>CAÑAVERAL-LA FLORIDA
SAN CARLOS-VALLEJUELO
VALLEJUELO-LAS CAMELIAS
LA TUPIADA-BETULIA
PUENTE ARKANSAS-SAMANÁ</t>
  </si>
  <si>
    <t>29/05/2025 segunda entrega de materiales, avance de obra 40%
28/08/2025 avance de obra 80%
29/09/2025 avance de obra 85%
17/04/2026 Avance de obra 95%</t>
  </si>
  <si>
    <t>24AS111B2040</t>
  </si>
  <si>
    <t>SAN RAFAEL</t>
  </si>
  <si>
    <t>"APOYAR AL MUNICIPIO DE SAN RAFAEL, CON EL SUMINISTRO DE MATERIALES POR PARTE DEL DEPARTAMENTO DE ANTIOQUIA PARA LLEVAR A CABO EL MEJORAMIENTO DE VÍAS TERCIARIAS UBICADAS EN EL MUNICIPIO ASOCIADO"</t>
  </si>
  <si>
    <t>EL GOLGOTA-EL DIAMANTE
LA ESTRELLA
BALSAS- EL SILENCIO PARTE BAJA
CUERVOS
BISCOCHO-MANILA</t>
  </si>
  <si>
    <t xml:space="preserve"> pendiente liquidar
TERMINADO 100%</t>
  </si>
  <si>
    <t>24AS111B1725</t>
  </si>
  <si>
    <t>APOYAR AL MUNICIPIO DE SAN RAFAEL CON EL SUMINISTRO DE MATERIALES POR PARTE DEL DEPARTAMENTO DE ANTIOQUIA PARA LLEVAR A CABO EL MEJORAMIENTO DE VÍAS TERCIARIAS
UBICADAS EN EL MUNICIPIO ASOCIADO</t>
  </si>
  <si>
    <t>MACANAL                                                       
LA FLORIDA                                                   
 EL GUADUAL                                                 
SAN AGUSTÍN                                               
LOS MEDIOS</t>
  </si>
  <si>
    <t>LIQUIDADO</t>
  </si>
  <si>
    <t xml:space="preserve">29/01/2025 Terminado 100% </t>
  </si>
  <si>
    <t>24AS111B2045</t>
  </si>
  <si>
    <t>SAN VICENTE DE FERRER</t>
  </si>
  <si>
    <t xml:space="preserve">"APOYAR AL MUNICIPIO DE SAN VICENTE, CON EL SUMINISTRO DE MATERIALES POR PARTE DEL DEPARTAMENTO DE ANTIOQUIA PARA LLEVAR A CABO EL MEJORAMIENTO DE VÍAS TERCIARIAS UBICADAS EN EL MUNICIPIO ASOCIADO"
</t>
  </si>
  <si>
    <t>ANILLO LA MAGDALENA-MONTEALEGRE-SAN JOSÉ</t>
  </si>
  <si>
    <t xml:space="preserve">
13/05/2025 solicito primer pedido de materiales
11/07/2025 avance de obra 20%
29/07/2025 avance de obra 30%
28/08/2025 avance de obra 40%
22/09/2025 se entregaron todos los materiales, avance de obra 70%
30/09/2025 avance de obra 80%</t>
  </si>
  <si>
    <t>24AS111B2037</t>
  </si>
  <si>
    <t>SONSÓN</t>
  </si>
  <si>
    <t>"APOYAR AL MUNICIPIO DE SONSÓN, CON EL SUMINISTRO DE MATERIALES POR PARTE DEL DEPARTAMENTO DE ANTIOQUIA PARA LLEVAR A CABO EL MEJORAMIENTO DE VÍAS TERCIARIAS UBICADAS EN EL MUNICIPIO ASOCIADO"</t>
  </si>
  <si>
    <t xml:space="preserve">VÍA LA DANTA-SAN MIGUEL
</t>
  </si>
  <si>
    <t>17/04/2026 avance de obra 80%</t>
  </si>
  <si>
    <t>ESPACIO PÚBLICO</t>
  </si>
  <si>
    <t>CONVENIO INTERADMINISTRATIVO PARA LA IMPLEMENTACIÓN DE PILOTO DE URBANISMO TÁCTICO EN LA CALLE DEL VENTARRÓN EN EL MUNICIPIO DE SONSÓN.</t>
  </si>
  <si>
    <t>CALLE DEL VENTARRÓN</t>
  </si>
  <si>
    <t>DORIS DUQUE PINEDA</t>
  </si>
  <si>
    <t>24AS111B1735</t>
  </si>
  <si>
    <t>CISNEROS</t>
  </si>
  <si>
    <t>APOYAR AL MUNICIPIO CISNEROS, CON EL SUMINISTRO DE MATERIALES POR PARTE DEL DEPARTAMENTO DE ANTIOQUIA PARA LLEVAR A CABO EL MEJORAMIENTO DE VÍAS TERCIARIAS
UBICADAS EN EL MUNICIPIO ASOCIADO</t>
  </si>
  <si>
    <t>BELLAVISTA-SABANALARGA (SECTOR BELLAFATIMA)                                   
SANTA ELENA</t>
  </si>
  <si>
    <t>7/11/2024 se autorizó el 100% de entrega de materiales
25/11/2024 Obras actualmente en ejecución, segun información del muncipio se encuentra en 40 de avance real. se autorizó el 100% de entrega de materiales sin cumplimiento de requisito de avance establecido en el convenio, lo anterior debido a la fecha límite para autorizaciones.
10/03/2025 con acta de terminación, pendiente visita a campo por parte del supervisor para verificar obra 
24/04/2025 municipio reporta 100% avance de obra, pendiente visita a campo para verificar obra</t>
  </si>
  <si>
    <t>24AS111B1734</t>
  </si>
  <si>
    <t>SAN ROQUE</t>
  </si>
  <si>
    <t>APOYAR AL MUNICIPIO SAN ROQUE, CON EL SUMINISTRO DE MATERIALES POR PARTE DEL DEPARTAMENTO DE ANTIOQUIA PARA LLEVAR A CABO EL MEJORAMIENTO DE VÍAS TERCIARIAS
UBICADAS EN EL MUNICIPIO ASOCIADO</t>
  </si>
  <si>
    <t>PALMAS-SANTA ISABEL
CABILDO-TRAPICHE
FRAYLES-COROCITO
JARDÍN-POPAL
TACHIRA
SAN JUAN-CHORROCLARO
SAN JOAQUIN- ESCUELA
DIAMANTE
JARDIN-MULTAL</t>
  </si>
  <si>
    <t>20/08/2025 terminado 100%, por liquidar
24/04/2026 pendiente que en municipio envie informe para poder hacer vista a campo y poder liquidar</t>
  </si>
  <si>
    <t>24AS111B2024</t>
  </si>
  <si>
    <t>PALMAS- SANTA ISABEL
EL POVERNIR-LA GÓMEZ
VILLA NUEVA-MARBELLA
VILLANUEVA-SAN ANTONIO
PATIO BONITO
EL BARCINO-EL TRAPICHE
CRISTALES-GUACAS ABAJO
LAS ENCARGNACIONES-LA PUREZA</t>
  </si>
  <si>
    <t>28/07/2025 en tramite solicitud de prorroga por 3 meses
13/08/2025 aprobada prorroga en CIC, pendiente COS del viernes 15 de agosto
15/08/2025 Aprobada prorrga por 3 meses, temina el 24/11/2025
30/09/2025 se entregó todo el material, avance de obra 60%
25/11/2025 pendiente informe final por parte del municipio, POR LIQUIDAR
24/04/2026 sigue igualr</t>
  </si>
  <si>
    <t>DAVID ALBERTO GOMEZ DUQUE</t>
  </si>
  <si>
    <t>24AS111B1787</t>
  </si>
  <si>
    <t>ANORÍ</t>
  </si>
  <si>
    <t>APOYAR AL MUNICIPIO DE ANORÍ, CON EL SUMINISTRO DE MATERIALES POR PARTE DEL DEPARTAMENTO DE ANTIOQUIA PARA LLEVAR A CABO EL MEJORAMIENTO DE VÍAS TERCIARIAS
UBICADAS EN EL MUNICIPIO ASOCIADO</t>
  </si>
  <si>
    <t xml:space="preserve">LA PRIMAVERA - LAS NIEVES
LA PRIMAVERA - LA GUAYANA
</t>
  </si>
  <si>
    <t xml:space="preserve">29/01/2025 Se autorizó el 100% de entrega de materiales sin el porcentaje de avance requerido en el convenio. El avance al 22 de noviembre de 2024 (según información verbal del mpio) es del 65% lo cual queda pendiente de verificación por parte de la supervisión. 
28/03/2025 pendiente visita a campo por porte del supervisor para verificar estado de la obra, avance de obra 80% 
04/04/2025 terminado 100%, pendiente liquidar
</t>
  </si>
  <si>
    <t>24AS111B1771</t>
  </si>
  <si>
    <t>TARAZÁ</t>
  </si>
  <si>
    <t>APOYAR AL MUNICIPIO TARAZÁ, CON EL SUMINISTRO DE MATERIALES POR PARTE DEL DEPARTAMENTO DE ANTIOQUIA PARA LLEVAR A CABO EL MEJORAMIENTO DE VÍAS TERCIARIAS</t>
  </si>
  <si>
    <t>CORREGIMIENTO EL GUAIMARO-LAS PARTIDAS
VIA LA TRONCAL – VEREDA LA PIPIOLA</t>
  </si>
  <si>
    <t>25/11/2024 Solo se alcanzó a entregar el 33% de materiales puesto que el paro minero dificultó la entrega y no se inicio ejecución antes del 6 de noviembre de 2024, fecha límite para solicitud de los mismo. 
Pendiente inicio de obras, materiales ya fueron entregados.
29/01/2025 no hay  evidencia de ejecución de obra a la fecha 
18/02/2025 con acta de terminación, pendiente liquidar
04/04/2025 Pendiente visita a campo para verificar obra con 33% 
06/05/2025 NO se pudo realizar la visita por problemas de orden público
10/06/2025 pendiente visita a campo la proxima semana 
03/07/2025 finaliza convenio con ejecución del 33%, pendiente liquidar</t>
  </si>
  <si>
    <t>24AS111B2013</t>
  </si>
  <si>
    <t>CAREPA</t>
  </si>
  <si>
    <t>"APOYAR AL MUNICIPIO DE CAREPA, CON EL SUMINISTRO DE MATERIALES POR PARTE DEL DEPARTAMENTO DE ANTIOQUIA PARA LLEVAR A CABO EL MEJORAMIENTO DE VÍAS TERCIARIAS UBICADAS EN EL MUNICIPIO ASOCIADO"</t>
  </si>
  <si>
    <t>CAMAGUEY
GUANAJAY</t>
  </si>
  <si>
    <t xml:space="preserve">
20/04/2026 avance de obra 80%, pendiente liquidar, con acta de terminacion </t>
  </si>
  <si>
    <t>24AS111B1786</t>
  </si>
  <si>
    <t>MUTATÁ</t>
  </si>
  <si>
    <t>APOYAR AL MUNICIPIO DE MUTATÁ, CON EL SUMINISTRO DE MATERIALES POR PARTE DEL DEPARTAMENTO DE ANTIOQUIA PARA LLEVAR A CABO EL MEJORAMIENTO DE VÍAS TERCIARIAS UBICADAS EN
EL MUNICIPIO ASOCIADO</t>
  </si>
  <si>
    <t>Cacaos (05480VT01)</t>
  </si>
  <si>
    <t>24AS111B1770</t>
  </si>
  <si>
    <t>APOYAR AL MUNICIPIO NECOCLÍ, CON EL SUMINISTRO DE MATERIALES POR PARTE DEL DEPARTAMENTO DE ANTIOQUIA PARA LLEVAR A CABO EL MEJORAMIENTO DE VÍAS TERCIARIAS UBICADAS EN
EL MUNICIPIO ASOCIADO</t>
  </si>
  <si>
    <t xml:space="preserve">Vía Zapata – Narváez – Ramal Carreto Descanso </t>
  </si>
  <si>
    <t xml:space="preserve">20/04/2026 No se ha podido terminar debido asentamiento de la placa huella, tramo para el cual el municipio realizará mitigación en el punto crítico de la obra </t>
  </si>
  <si>
    <t>24AS111B2062</t>
  </si>
  <si>
    <t>SAN JUAN DE URABÁ</t>
  </si>
  <si>
    <t>"APOYAR AL MUNICIPIO DE SAN JUAN DE URABÁ, CON EL SUMINISTRO DE MATERIALES POR PARTE DEL DEPARTAMENTO DE ANTIOQUIA PARA LLEVAR A CABO EL MEJORAMIENTO DE VÍAS TERCIARIAS UBICADAS EN EL MUNICIPIO ASOCIADO"</t>
  </si>
  <si>
    <t>VÍA TERCIARIA BARRANCONES
SINAÍ-BELÉN
VÍA EL FILO-CEDRITOS-VOLCANES</t>
  </si>
  <si>
    <t>TERMINADO 100%</t>
  </si>
  <si>
    <t>24AS111B1730</t>
  </si>
  <si>
    <t>SAN PEDRO DE URABÁ</t>
  </si>
  <si>
    <t>"APOYAR AL MUNICIPIO DE SAN PEDRO DE URABÁ, CON EL SUMINISTRO DE MATERIALES POR PARTE DEL DEPARTAMENTO DE ANTIOQUIA PARA LLEVAR A CABO EL MEJORAMIENTO DE VÍAS TERCIARIAS UBICADAS EN EL MUNICIPIO ASOCIADO"</t>
  </si>
  <si>
    <t>APARTADA DEL AJÍ- EL AJÍ</t>
  </si>
  <si>
    <t>24/07/2025 terminado 100%, pendiente liquidar</t>
  </si>
  <si>
    <t>24AS111B2061</t>
  </si>
  <si>
    <t>MORROA-ZAPINDONGA</t>
  </si>
  <si>
    <t>20/04/2026 avance de obra 90%</t>
  </si>
  <si>
    <t>24AS111B2046</t>
  </si>
  <si>
    <t>"APOYAR AL MUNICIPIO DE VIGÍA DEL FUERTE, CON EL SUMINISTRO DE MATERIALES POR PARTE DEL DEPARTAMENTO DE ANTIOQUIA PARA LLEVAR A CABO EL MEJORAMIENTO DE VÍAS TERCIARIAS UBICADAS EN EL MUNICIPIO ASOCIADO"</t>
  </si>
  <si>
    <t>BUCHADO</t>
  </si>
  <si>
    <t>31/07/2025 TERMINADO 100%</t>
  </si>
  <si>
    <t>ARTICULAR Y COORDINAR ESFUERZOS ENTRE EL
DEPARTAMENTO DE ANTIOQUIA Y EL MUNICIPIO DE VIGÍA DEL FUERTE PARA EL
MEJORAMIENTO DE VÍAS URBANAS, UBICADAS EN EL MUNICIPIO ASOCIADO</t>
  </si>
  <si>
    <t xml:space="preserve"> Carrera 6 entre calles 10 y 14 - * Carrera 6 entre calles 19 y 20 - * Carrera 6 entre calles 20 y 21 - * Carrera 6 entre calles 21 y 22 - * Carrera 7 entre calles 14 y 16 - * Carrera 7 entre calles 16 y 17 - * Carrera 7 entre calles 17 y 18 - * Carrera 7
entre calles 18 y 19 - * Carrera 8 entre calles 16 y 17 - * Carrera 8 entre calles 18 y 19 - * Carrera 8 entre calles 19 y 20 - *
Calle 13 con entre carreras 1 y 2 - * Calle 21 con entre carreras 5 Y 6 - * Calle 22 con entre carreras 2 Y 3"</t>
  </si>
  <si>
    <t>30/10/2025 SUSPENSIÓN por 3 meses a partir de la fecha 27/10/2025 hasta el día
27/01/2026
04/02/2026  AMPLIACIÓN A LA SUSPENSIÓN por 3 meses  a partir de la fecha 27/01/2026 hasta el día 27/04/2026
28/04/2026 PRORROGA POR 3 MESES, TERMINA 28 DE JULIO</t>
  </si>
  <si>
    <t>CRISTIAN CAMILO QUIRAMA HENAO</t>
  </si>
  <si>
    <t>24AS111B2029</t>
  </si>
  <si>
    <t>ANDES</t>
  </si>
  <si>
    <t>APOYAR AL MUNICIPIO DE ANDES, CON EL SUMINISTRO DE MATERIALES POR PARTE DEL DEPARTAMENTO DE ANTIOQUIA PARA LLEVAR A CABO EL MEJORAMIENTO DE VÍAS TERCIARIAS UBICADAS EN EL MUNICIPIO ASOCIADO</t>
  </si>
  <si>
    <t>RAMAL RANCHO QUEMADO-YARUMAL
SAN BARTOLO (LOS LÓPEZ)
SAN PERUCHO
RAMAL SAN PEDRO-SAN PEDRO ARRIBA
PIAMONTE
LOS ALZATES-RINCON SANTO
RAMAL LA CARBONERA-CUATRO ESQUINA
ANDES-LA SOLITA
ANDES-SAN MIGUEL(LAS PEÑA)
EL ROJO
RIO CLARO
ANDES-LA SOLITA (LA RATONERA)</t>
  </si>
  <si>
    <t xml:space="preserve">
10/07/2025 PRORROGA aprobada por 5 meses hasta el 21 de diciembre de 2025
23/09/2025 avance de obra 26%
16/12/2025 se les entregó todo el material, Avance de obra 62,7% 
24/04/2026 Avance de obra 90%, por liquidar
</t>
  </si>
  <si>
    <t>24AS111B1736</t>
  </si>
  <si>
    <t>BRICEÑO</t>
  </si>
  <si>
    <t>APOYAR AL MUNICIPIO BRICEÑO, CON EL SUMINISTRO DE MATERIALES POR PARTE DEL DEPARTAMENTO DE ANTIOQUIA PARA LLEVAR A CABO EL MEJORAMIENTO DE VÍAS TERCIARIAS
UBICADAS EN EL MUNICIPIO ASOCIADO</t>
  </si>
  <si>
    <t>SANTA ANA- CHORRILLOS
SOCAVONES-MORAVIA
LAS BRISAS-LAS AURAS
BRICEÑO-MORRÓN
VALLE DE TOLEDO-ALTO DE CHIRI
EL PESCADO-LA AMÉRICA-LA MOLINA
VÍA LAS AURAS-ESCUELA LA VÉLEZ
BODEGA CAMPO ALEGRE-CAMPO ALEGRE</t>
  </si>
  <si>
    <t>se entrego todo el material
06/05/2025 terminado 100% por liquidar</t>
  </si>
  <si>
    <t>24AS111B2012</t>
  </si>
  <si>
    <t>"APOYAR AL MUNICIPIO DE BRICEÑO, CON EL SUMINISTRO DE MATERIALES POR PARTE DEL DEPARTAMENTO DE ANTIOQUIA PARA LLEVAR A CABO EL MEJORAMIENTO DE VÍAS TERCIARIAS UBICADAS EN EL MUNICIPIO ASOCIADO"UBICADAS EN EL MUNICIPIO ASOCIADO</t>
  </si>
  <si>
    <t xml:space="preserve">VALLE DE TOLEDO-BUENAVISTA
LAS BRISAS- EL GUAICO
TRAVESÍAS- EL ROBLAL
EL TURCO-LA CRISTALINA
VIA LAS AURAS-EL GURRÍ- LA RODRIGUEZ
SANTA ANA- SAN EPIFANIO
</t>
  </si>
  <si>
    <t>24/04/2026 TERMINADO 100%, se hizo visita los dias los 15 y 16 de abril</t>
  </si>
  <si>
    <t>TERMINACIÓN</t>
  </si>
  <si>
    <t>24AS111B2058</t>
  </si>
  <si>
    <t>DONMATIAS</t>
  </si>
  <si>
    <t>"APOYAR AL MUNICIPIO DE DONMATIAS, CON EL SUMINISTRO DE MATERIALES POR PARTE DEL DEPARTAMENTO DE ANTIOQUIA PARA LLEVAR A CABO EL MEJORAMIENTO DE VÍAS TERCIARIAS UBICADAS EN EL MUNICIPIO ASOCIADO"</t>
  </si>
  <si>
    <t>VIA ARENALES</t>
  </si>
  <si>
    <t xml:space="preserve">
24/04/2026 TERMINADO 100%, pendiente visita de obra para el 28 de abril</t>
  </si>
  <si>
    <t>24AS111B2054</t>
  </si>
  <si>
    <t>SAN JOSÉ DE LA MONTAÑA</t>
  </si>
  <si>
    <t>"APOYAR AL MUNICIPIO DE SAN JOSÉ DE LA MONTAÑA, CON EL SUMINISTRO DE MATERIALES POR PARTE DEL DEPARTAMENTO DE ANTIOQUIA PARA LLEVAR A CABO EL MEJORAMIENTO DE VÍAS TERCIARIAS UBICADAS EN EL MUNICIPIO ASOCIADO"</t>
  </si>
  <si>
    <t>VÍA POTRERITO
VÍA EL CONGO
VÍA SAN JOSÉ- CAMBURÉ</t>
  </si>
  <si>
    <t>13/08/2025 se hizo última solicitud de materiales el 5 de agosto, avance de obra 60%
27/08/2025 terminan contra liquidación, pendiente informe de ejecución por parte del municipio
23/09/2025 TERMINADO, por liquidarr</t>
  </si>
  <si>
    <t>24AS111B1739</t>
  </si>
  <si>
    <t>SAN PEDRO DE LOS MILAGROS</t>
  </si>
  <si>
    <t>APOYAR AL MUNICIPIO DE SAN PEDRO DE LOS MILAGROS, CON EL SUMINISTRO DE MATERIALES POR PARTE DEL DEPARTAMENTO DE ANTIOQUIA PARA LLEVAR A CABO EL MEJORAMIENTO DE VÍAS TERCIARIAS UBICADAS EN
EL MUNICIPIO ASOCIADO</t>
  </si>
  <si>
    <t xml:space="preserve">La Arroyave
La china – pantanillo 
Espíritu Santo 
San Francisco 
San Pedro-Alto de medina </t>
  </si>
  <si>
    <t>24AS111B1731</t>
  </si>
  <si>
    <t>TOLEDO</t>
  </si>
  <si>
    <t>APOYAR AL MUNICIPIO DE TOLEDO, CON EL SUMINISTRO DE MATERIALES POR PARTE DEL DEPARTAMENTO DE ANTIOQUIA PARA LLEVAR A CABO EL MEJORAMIENTO DE VÍAS TERCIARIAS
UBICADAS EN EL MUNICIPIO ASOCIADO</t>
  </si>
  <si>
    <t xml:space="preserve">VÍA LA FLORIDA                                          
RAMAL ALTO DEL TORO-EL MORAL
</t>
  </si>
  <si>
    <t xml:space="preserve">Se entrego todo el material
12/06/2025 municipio reporta 99% avance de obra
29/07/2025 pendiente de terminar bordillos, visita a campo para verificar obra y poder liquidar
20/08/2025 terminado 100%, por liquidar </t>
  </si>
  <si>
    <t>ADRIANA PATRICIA MUÑOZ LONDOÑO</t>
  </si>
  <si>
    <t>24AS111B1979</t>
  </si>
  <si>
    <t>CAFETEROS</t>
  </si>
  <si>
    <t>FEDECAFETEROS</t>
  </si>
  <si>
    <t xml:space="preserve">26/11/2025  prorroga por 4 meses hasta el 30 de marzo 2026 APROBADA
AVANCE DE OBRA 60%, RECURSOS 45%10/02/2026 ejecución fisica 76%, ejecución de recursos 67,66%
27/03/2026 avance fisico 94,68%  avance financiero 71,84%, con  acta de terminación, por liquidar  y a la espera de entrega de documentos 
</t>
  </si>
  <si>
    <t>25AS111B2690</t>
  </si>
  <si>
    <t>APOYAR AL MUNICIPIO DE ZARAGOZA, CON EL
SUMINISTRO DE MATERIALES POR PARTE DEL
DEPARTAMENTO DE ANTIOQUIA PARA LLEVAR A CABO EL
MEJORAMIENTO DE VÍAS TERCIARIAS UBICADAS EN EL
MUNICIPIO ASOCIADO</t>
  </si>
  <si>
    <t>VÍA LOS CHIVOS PATO (05895VT40), 500 m</t>
  </si>
  <si>
    <t>20/11/2025 se autorizó la entrega de todos los materiales
09/02/2026 avance de obra 15%
11/05/2026 prorroga por 3 meses, termina el 12 de agosto</t>
  </si>
  <si>
    <t>25AS111B2378</t>
  </si>
  <si>
    <t xml:space="preserve"> APOYAR AL MUNICIPIO DE MACEO, CON EL SUMINISTRO DE MATERIALES POR PARTE
DEL DEPARTAMENTO DE ANTIOQUIA PARA LLEVAR A CABO EL MEJORAMIENTO DE VÍAS TERCIARIAS
UBICADAS EN EL MUNICIPIO ASOCIADO.</t>
  </si>
  <si>
    <t xml:space="preserve">Via San Judas - Olivares (05425VT22) Vía Tres Piedras - La Londra - El Ingenio (05425VT23) Via San Laureano - San Lucas (05425VT28) Via Tres Piedras - San Cipriano - Sector La Aguada (05425VT42)
</t>
  </si>
  <si>
    <t>15/08/2025 se firmó acta de inicio el 12 de agosto de 2025
24/09/ en contratación 
18/12/2025 avance de obra 50%
24/04/2026 terminad0 100%, pendiente de visita a campo</t>
  </si>
  <si>
    <t>25AS111B2674</t>
  </si>
  <si>
    <t>APOYAR AL MUNICIPIO DE PUERTO TRIUNFO, CON EL SUMINISTRO DE MATERIALES POR PARTE DEL DEPARTAMENTO DE ANTIOQUIA PARA LLEVAR A CABO EL MEJORAMIENTO DE VÍAS TERCIARIAS UBICADAS EN EL MUNICIPIO ASOCIADO</t>
  </si>
  <si>
    <t>Vía rural acceso a la vereda honduras 05591VT04</t>
  </si>
  <si>
    <t>25AS111B2673</t>
  </si>
  <si>
    <t>APOYAR AL MUNICIPIO DE MACEO, CON EL SUMINISTRO DE MATERIALES POR PARTE DEL DEPARTAMENTO DE ANTIOQUIA PARA LLEVAR A CABO EL MEJORAMIENTO DE VÍAS TERCIARIAS UBICADAS EN EL MUNICIPIO ASOCIADO</t>
  </si>
  <si>
    <t xml:space="preserve"> Vía Los Carmona - El Ingenio (05425VT48)
Vía Capilla Ingenio (05425VT47)</t>
  </si>
  <si>
    <t>25AS111B2687</t>
  </si>
  <si>
    <t>APOYAR AL MUNICIPIO DE YOLOMBÓ, CON EL SUMINISTRO DE MATERIALES POR PARTE DEL DEPARTAMENTO DE ANTIOQUIA PARA LLEVAR A CABO EL MEJORAMIENTO DE VÍAS TERCIARIAS UBICADAS EN EL MUNICIPIO ASOCIADO</t>
  </si>
  <si>
    <t>Vía Las Margaritas - Barbascal (Vereda Barbascal) (05890VT96)
Vía Paraje La Chaza- Vereda El Comino (Vereda Las Frias) (05890VT97)</t>
  </si>
  <si>
    <t>24/04/2026 Avance de obra 95%</t>
  </si>
  <si>
    <t>25AS111B2770</t>
  </si>
  <si>
    <t>APOYAR AL MUNICIPIO DE SAN VICENTE FERRER, CON EL SUMINISTRO DE MATERIALES POR PARTE DEL DEPARTAMENTO DE ANTIOQUIA PARA LLEVAR A CABO EL MEJORAMIENTO DE VÍAS TERCIARIAS UBICADAS EN EL MUNICIPIO ASOCIADO</t>
  </si>
  <si>
    <t>• Vía Alto de la sepultura (05674VT36) - 150 metros
• Vía Alto del beque (05674VT65) - 50 metros
• Vía El canelo (05674VT23) – 100 metros
• Vía Santa ana (05674VT41) – 200 metros</t>
  </si>
  <si>
    <t>25AS111B2158</t>
  </si>
  <si>
    <t>GIRARDOTA</t>
  </si>
  <si>
    <t>APOYAR AL MUNICIPIO DE GIRARDOTA, CON EL
SUMINISTRO DE MATERIALES POR PARTE DEL DEPARTAMENTO DE
ANTIOQUIA PARA LLEVAR A CABO EL MEJORAMIENTO DE VÍAS TERCIARIAS
UBICADAS EN EL MUNICIPIO ASOCIADO</t>
  </si>
  <si>
    <t xml:space="preserve">Vía San Diego -
Jamundí Rieles (05308VT30)
</t>
  </si>
  <si>
    <t>20/11/2025 se autorizó la entrega de todos los materiales
avance de obra 60%
25/11/2025 pendiente liquidar
TERMINADO 100%</t>
  </si>
  <si>
    <t>25AS111B2655</t>
  </si>
  <si>
    <t>APOYAR AL MUNICIPIO DE OLAYA, CON EL SUMINISTRO DE MATERIALES POR
PARTE DEL DEPARTAMENTO DE ANTIOQUIA PARA LLEVAR A CABO EL MEJORAMIENTO DE
VÍAS TERCIARIAS UBICADAS EN EL MUNICIPIO ASOCIADO</t>
  </si>
  <si>
    <t>* OLAYA - QUEBRADA ARRIBA (05501VT48) - 130 metros
* LA YE QUEBRADASECA AGUAS ABAJO (05501VT24) 100 metros
*LOPERA - LA COLCHOA (05501VT23) - 70 metros</t>
  </si>
  <si>
    <t xml:space="preserve">30/01/2026 Avance de obra 38%, se les entregó todo el material
10/04/2026 avance de obra 50%, pendienvisita a campo  </t>
  </si>
  <si>
    <t>25AS111B2618</t>
  </si>
  <si>
    <t>APOYAR AL MUNICIPIO DE SAN JERÓNIMO, CON EL SUMINISTRO DE MATERIALES POR PARTE DEL DEPARTAMENTO DE ANTIOQUIA PARA LLEVAR A CABO EL MEJORAMIENTO DE VÍAS TERCIARIAS UBICADAS EN EL MUNICIPIO ASOCIADO</t>
  </si>
  <si>
    <t>• VÍA MEDELLÍN EBÉJICO MEZTIZAL (05656VT06) - 150 metros
• VÍA MATASANO (05656VT27) - 150 metros
• VÍA MEDELLÍN SAN JERÓNIMO PIEDRA NEGRA (05656VT19) - 100 metros
• VÍA MONTEFRIO (05656VT24) - 100 metros</t>
  </si>
  <si>
    <t xml:space="preserve">28/04/2026 TERMINADO 100%, por liquidar
</t>
  </si>
  <si>
    <t>25AS111B2620</t>
  </si>
  <si>
    <t>SOPETRÁN</t>
  </si>
  <si>
    <t>APOYAR AL MUNICIPIO DE SOPETRÁN, CON EL SUMINISTRO DE MATERIALES POR PARTE DEL DEPARTAMENTO DE ANTIOQUIA PARA LLEVAR A CABO EL MEJORAMIENTO DE VÍAS TERCIARIAS UBICADAS EN EL MUNICIPIO ASOCIADO</t>
  </si>
  <si>
    <t>VÍA SOPETRÁN - ROJAS - CHACHAFRUTO (05761VT13) - 110 metros
RAMAL A HORIZONTE (05761VT10) 110 metros
 VÍA A BEJUCO - PALOGRANDE (05761VT11) - 110 metros
RAMAL A HORIZONTE (05761VT10) 70 metros
VÍA SOPETRÁN LA OTRA BANDA - EL POTRERO (05761VT19) - 100 metros</t>
  </si>
  <si>
    <t xml:space="preserve">30/01/2026 Avance de obra 50%, se les entregó todo el materia 
10/04/2026 avance de obra 70%, pendienvisita a campo  </t>
  </si>
  <si>
    <t>25AS111B2619</t>
  </si>
  <si>
    <t>APOYAR AL MUNICIPIO DE SANTA FE DE ANTIOQUIA, CON EL SUMINISTRO DE MATERIALES POR PARTE DEL DEPARTAMENTO DE ANTIOQUIA PARA LLEVAR A CABO EL MEJORAMIENTO DE VÍAS TERCIARIAS UBICADAS EN EL MUNICIPIO ASOCIADO</t>
  </si>
  <si>
    <t>• Valle de Toledo – Alto de Chiri (05107VT03)</t>
  </si>
  <si>
    <t xml:space="preserve">28/04/2026 TERMINADO 100%, pendiente visita 
</t>
  </si>
  <si>
    <t>JERICO</t>
  </si>
  <si>
    <t>ARTICULAR Y COORDINAR ESFUERZOS ENTRE EL
DEPARTAMENTO DE ANTIOQUIA Y EL MUNICIPIO DE JERICÓ, PARA LA EJECUCIÓN
DEL MEJORAMIENTO DE VÍAS RURALES UBICADAS EN EL MUNICIPIO ASOCIADO.</t>
  </si>
  <si>
    <t>vía de terciaría, 60AN04-1-1, Tramo 1 sector Castalia
Conexión Calle 9 - Av Circunvalar, Tramo 2</t>
  </si>
  <si>
    <t>Se trasladaron 214.750.280 de recursos al idea (100%)
18/02/2026 Se realizó visita técnica
Se realizaron 137m en la vía la castalia - (Tramo 1)
Se realizaron 60m en la via Conexión Calle 9 - Av Circunvalar (Tramo 2)
5/01/2026 se realizó acta de terminación</t>
  </si>
  <si>
    <t>TAMESIS</t>
  </si>
  <si>
    <t>CONVENIO INTERADMINISTRATIVO PARA LA ADECUACIÓN DE LA CARRERA 9 DEL MUNICIPIO DE TÁMESIS, MEDIANTE LA IMPLEMENTACIÓN DE UNA INTERVENCIÓN DE URBANISMO TÁCTICO DENOMINADA CALLE MITOLÓGICA</t>
  </si>
  <si>
    <t>Carrera 9 Calle Mitologica</t>
  </si>
  <si>
    <t xml:space="preserve">Se trasladaron los recursos al idea (100%)
Se realizó suspension N°1 por un (1) mes por el cambioen las redes de acueducto y alcantarillado en la carrera 9 con fecha de reaunudación el 27/02/2026
16/02/2026 se realizó visita técnica
</t>
  </si>
  <si>
    <t>25AS111B2089</t>
  </si>
  <si>
    <t>YARUMAL</t>
  </si>
  <si>
    <t>"APOYAR AL MUNICIPIO DE YARUMAL, CON EL SUMINISTRO DE MATERIALES POR PARTE DEL DEPARTAMENTO DE ANTIOQUIA PARA LLEVAR A CABO EL MEJORAMIENTO DE VÍAS TERCIARIAS UBICADAS EN EL MUNICIPIO ASOCIADO"</t>
  </si>
  <si>
    <t xml:space="preserve">VIA CORCOVADO
VIA LA PALOMA-MORTIÑAL
VIA SANTA RITA LA SIRIA
VIA LA ESTRELLA
VIA CEDEÑO-LOS POMOS
</t>
  </si>
  <si>
    <t>TERMINADO 100%, por liquidar</t>
  </si>
  <si>
    <t xml:space="preserve"> ARTICULAR Y COORDINAR ESFUERZOS ENTRE EL DEPARTAMENTO DE ANTIOQUIA
Y EL MUNICIPIO DE ALEJANDRÍA, PARA EL MEJORAMIENTO DE VÍAS RURALES UBICADAS EN
EL MUNICIPIO ASOCIADO.</t>
  </si>
  <si>
    <t xml:space="preserve">VEREDA LA PAVA 
</t>
  </si>
  <si>
    <t xml:space="preserve">
27/10/2025 terminado 100%, pendiente desembolso 2
05/11/2025 se hizo segundo desembolso, con acta de terminación en mesa de ayuda, por liquidar</t>
  </si>
  <si>
    <t>25AS111B2218</t>
  </si>
  <si>
    <t>EL CARMEN DE VIBORAL</t>
  </si>
  <si>
    <t xml:space="preserve"> АPOYAR AL MUNICIPIO DE EL CARMEN DE VIBORAL, CON EL
SUMINISTRO DE MATERIALES POR PARTE DEL DEPARTAMENTO DE ANTIOQUIA PARA
LLEVAR A CABO EL MEJORAMIENTO DE VÍAS TERCIARIAS UBICADAS EN EL MUNICIPIO
ASOCIADO.</t>
  </si>
  <si>
    <t xml:space="preserve">Vía La Escuela Juan Nicolas Gomez Hoyos (05148VT106) – 500m
</t>
  </si>
  <si>
    <t>19/11/2025 TERMINADO 100% por liquiar</t>
  </si>
  <si>
    <t>25AS111B2349</t>
  </si>
  <si>
    <t xml:space="preserve"> APOYAR AL MUNICIPIO DE RIONEGRO, CON EL SUMINISTRO DE MATERIALES POR
PARTE DEL DEPARTAMENTO DE ANTIOQUIA PARA LLEVAR A CABO EL MEJORAMIENTO DE VÍAS TERCIARIAS
UBICADAS EN EL MUNICIPIO ASOCIADO.</t>
  </si>
  <si>
    <t xml:space="preserve">El Hoyito (05615VT139) 183m Callejón Los Franco Montoya -Pontezuela - Alto del Perro - Sector Milfrut (05615VT274) 42m Callejón Los Diaz Y Otálvaros (05615VT270) 200m Sector Quirama (Cabañas Club - Partidas San Antonio-Llanogrande-Flor Caribe) (05615VT275) 100m Y Parte Alta Vía Tres Puertas (05615VT138) 84m Ramal Paradero (05615VT194) 35m Sector La Corporación, Vía Fontibón - Las Cuchillas Mas Alla de la Cruz Entrando a la Mano Derecha - Ramal La Guadalupana (05615VT271) 65m Y Parte Alta Vía Tres Puertas (05615VT138) 230m Callejón Blanca Panda La Golodrina - Frente a la Finca 73 (Alto de Rafael La Celia) (05615VT281) 90m Callejón Los Balvin o Santamaria (05615VT279) 120m Callejón Los Mejía (05615VT282) 150m Tanque Alagro - Los pinos (05615VT092) 110m La Escondida (05615VT149) 70m Tanque Alagro - Los pinos (05615VT092) 160m Callejón Álamo o quiebrapatas (05615VT284) 42m
</t>
  </si>
  <si>
    <t>25AS111B2696</t>
  </si>
  <si>
    <t>APOYAR AL MUNICIPIO DE ALEJANDRÍA, CON EL SUMINISTRO DE MATERIALES POR PARTE DEL DEPARTAMENTO DE ANTIOQUIA PARA LLEVAR A CABO EL MEJORAMIENTO DE VÍAS TERCIARIAS UBICADAS EN EL MUNICIPIO ASOCIADO</t>
  </si>
  <si>
    <t>• VÍA A SAN JOSÉ (05021VT10) - 300 metros</t>
  </si>
  <si>
    <t>24/04/2026 termiando 100%, pendiente de liquidar</t>
  </si>
  <si>
    <t>25AS111B2634</t>
  </si>
  <si>
    <t>APOYAR AL MUNICIPIO DE MARINILLA, CON EL SUMINISTRO DE MATERIALES POR PARTE DEL DEPARTAMENTO DE ANTIOQUIA PARA LLEVAR A CABO EL MEJORAMIENTO DE VÍAS TERCIARIAS UBICADAS EN EL MUNICIPIO ASOCIADO</t>
  </si>
  <si>
    <t>• Vía escuela Vereda El Rosario (05440VT37)
• Vía Las Mercedes La Aldana (05440VT08)
• Vía Esperanza Esmeralda – Chagualo – Las Mercedes (05440VT27)
• Vía Cimarronas – Vía El Carmen (05440VT14)
• Vía Marinilla El Santuario Carmen de Viboral – San Juan Bosco – Gaviria – Vía Marinilla Nuevo Peñol (05440VT28)</t>
  </si>
  <si>
    <t xml:space="preserve">
05/02/2026 Avance de obra 32%, por liquidar 
24/04/2026 Avance de obra 70%</t>
  </si>
  <si>
    <t>25AS111B2676</t>
  </si>
  <si>
    <t>FRONTINO</t>
  </si>
  <si>
    <t>APOYAR AL MUNICIPIO DE FRONTINO, CON EL SUMINISTRO DE MATERIALES POR
PARTE DEL DEPARTAMENTO DE ANTIOQUIA PARA LLEVAR A CABO EL MEJORAMIENTO DE
VÍAS TERCIARIAS UBICADAS EN EL MUNICIPIO ASOCIADO</t>
  </si>
  <si>
    <t>• Vía La Chapa - La Culebra (05541VT149)
• Vía Partidas La Culebra - Escuela La Culebra (05541VT24)</t>
  </si>
  <si>
    <t>terminado, por liquidar</t>
  </si>
  <si>
    <t>25AS111B2680</t>
  </si>
  <si>
    <t>PEQUE</t>
  </si>
  <si>
    <t>APOYAR AL MUNICIPIO DE PEQUE, CON EL SUMINISTRO DE MATERIALES POR
PARTE DEL DEPARTAMENTO DE ANTIOQUIA PARA LLEVAR A CABO EL MEJORAMIENTO DE
VÍAS TERCIARIAS UBICADAS EN EL MUNICIPIO ASOCIADO</t>
  </si>
  <si>
    <t>• VÍA “Y” DE SAN JUAN JULIANCITO – RENEGADO VALLE – (05543VT12) - 100 metros
• VÍA FILO DE JERIGUA – LA NUEVA LLANADA (05543VT02) - 150 metros
• VÍA PARTIDA PUENTE DE SAN JUAN – LA GUADUA – (05543VT09) - 84 metros
• VÍA “Y” LLANO DEL PUEBLO – FALDAS DEL CAFÉ - (05543VT13) – 83 metros
• VÍA EL CHUMBIMBO – LOMA DEL SAUCE – (05543VT01) – 83 metros</t>
  </si>
  <si>
    <t>28/04/2026 Avance de obra 60%</t>
  </si>
  <si>
    <t>25AS111B2682</t>
  </si>
  <si>
    <t>APOYAR AL MUNICIPIO DE DABEIBA, CON EL SUMINISTRO DE MATERIALES POR
PARTE DEL DEPARTAMENTO DE ANTIOQUIA PARA LLEVAR A CABO EL MEJORAMIENTO DE
VÍAS TERCIARIAS UBICADAS EN EL MUNICIPIO ASOCIADO</t>
  </si>
  <si>
    <t>VIA LLANOGRANDE 202 MTS 05234VT02
VÍA RAMAL ACUEDUCTO LLANOGRANDE 98 MTS 05234VT10</t>
  </si>
  <si>
    <t>25AS111B2681</t>
  </si>
  <si>
    <t>GIRALDO</t>
  </si>
  <si>
    <t>APOYAR AL MUNICIPIO DE GIRALDO, CON EL SUMINISTRO DE MATERIALES POR
PARTE DEL DEPARTAMENTO DE ANTIOQUIA PARA LLEVAR A CABO EL MEJORAMIENTO DE
VÍAS TERCIARIAS UBICADAS EN EL MUNICIPIO ASOCIADO</t>
  </si>
  <si>
    <t>VIA GIRALDO BONANZA 130 MTS 05306VT10
VIA GIRALDO - LA SIERRA 200 MTS 05306VT04
VIA GIRALDO - LA SIERRA 170 MTS 05306VT09</t>
  </si>
  <si>
    <t>28/04/2026 terminado 100%, pendiente visita a campo para poder liquidar</t>
  </si>
  <si>
    <t>25AS111B2678</t>
  </si>
  <si>
    <t>APOYAR AL MUNICIPIO DE CAÑASGORDAS, CON EL SUMINISTRO DE MATERIALES POR PARTE DEL DEPARTAMENTO DE ANTIOQUIA PARA LLEVAR A CABO EL MEJORAMIENTO DE VÍAS TERCIARIAS UBICADAS EN EL MUNICIPIO ASOCIADO</t>
  </si>
  <si>
    <t>Imantago - San Luis
(Sector la S ) 100 MTS 05138VT11
La Cusuti - Buenos
Aires Sector La Ceiba 50 MTS 05138VT36
La Soledad (Sector La
Curva ) 50 MTS 05138VT32.
La Estrella parte Baja 50 MTS 05138VT25
La Aguada -
Chupadero 50 MTS 05138VT51
El Socorro 100 MTS 05138VT10
Imantago - San Luis (
Sector la Escuela
loma de la alegria) 50 MTS 05138VT11
La Soledad ( Sector
la Escuela) 50 MTS 05138VT32.9</t>
  </si>
  <si>
    <t>25AS111B2641</t>
  </si>
  <si>
    <t>CAICEDO</t>
  </si>
  <si>
    <t>APOYAR AL MUNICIPIO DE CAICEDO, CON EL SUMINISTRO DE MATERIALES POR PARTE DEL DEPARTAMENTO DE ANTIOQUIA PARA LLEVAR A CABO EL MEJORAMIENTO DE VÍAS TERCIARIAS UBICADAS EN EL MUNICIPIO ASOCIADO</t>
  </si>
  <si>
    <t>• VÍA SECTOR LAS TRAMPAS – LA GUARANA- (05125VT20) - 50 metros
• VÍA SECTOR LA MONTAÑITA – LLANON (05125VT19) - 50 metros
• VÍA CAICEDO – NOQUE (EL TAMBOR – LA NOQUE) (05125VT14) - 100 metros</t>
  </si>
  <si>
    <t>JAC</t>
  </si>
  <si>
    <t>25AS111B2784</t>
  </si>
  <si>
    <t>JAC VEREDA LA SOLEDAD</t>
  </si>
  <si>
    <t>ARTICULAR Y COORDINAR ESFUERZOS ENTRE EL DEPARTAMENTO DE ANTIOQUIA Y LA JUNTA DE ACCIÓN COMUNAL VEREDA LA SOLEDAD PARA LA EJECUCIÓN DEL MEJORAMIENTO VIAL EN EL MUNICIPIO DE CAICEDO ANTIOQUIA.</t>
  </si>
  <si>
    <t>Vía Caicedo La Salazar Centro Educativo Rural La Manga (05125VT10) y Sector El Llano - El Calvario (05125VT21</t>
  </si>
  <si>
    <t xml:space="preserve">TERMINADO 100%
</t>
  </si>
  <si>
    <t>JOHAN ALBEIRO SÁNCHEZ SÁNCHEZ</t>
  </si>
  <si>
    <t>25AS111B2766</t>
  </si>
  <si>
    <t>JARDÍN</t>
  </si>
  <si>
    <t>APOYAR AL MUNICIPIO DE JARDÍN CON EL SUMINISTRO
DE MATERIALES POR PARTE DEL DEPARTAMENTO DE
ANTIOQUIA PARA LLEVAR A CABO EL MEJORAMIENTO
DE VÍAS TERCIARIAS UBICADAS EN EL MUNICIPIO
ASOCIADO.</t>
  </si>
  <si>
    <t>Vía La Arboleda - Verdún las Margaritas (05364VT89) – 300 metros
Vía Montecristo (05364VT53) - 200 metros</t>
  </si>
  <si>
    <t xml:space="preserve">22/05/2026 ejecurado 100% obra / 100% financiero , en proceso de liquidación 
</t>
  </si>
  <si>
    <t>25AS111B2769</t>
  </si>
  <si>
    <t>HISPANIA</t>
  </si>
  <si>
    <t>APOYAR AL MUNICIPIO DE HISPANIA, CON EL SUMINISTRO DE MATERIALES POR
PARTE DEL DEPARTAMENTO DE ANTIOQUIA PARA LLEVAR A CABO EL MEJORAMIENTO DE
VÍAS TERCIARIAS UBICADAS EN EL MUNICIPIO ASOCIADO</t>
  </si>
  <si>
    <t>• Vía vereda San Joaquín (05353VT25) 500 m</t>
  </si>
  <si>
    <t>22/05/2026 ejecurado 100% obra / 100% financiero , en proceso de liquidación</t>
  </si>
  <si>
    <t>25AS111B2768</t>
  </si>
  <si>
    <t>APOYAR AL MUNICIPIO DE SAN PEDRO DE URABÁ, CON EL SUMINISTRO DE MATERIALES POR PARTE DEL DEPARTAMENTO DE ANTIOQUIA PARA LLEVAR A CABO EL MEJORAMIENTO DE VÍAS TERCIARIAS UBICADAS EN EL MUNICIPIO ASOCIADO</t>
  </si>
  <si>
    <t>Vía Terciaria Santa Catalina- Villanueva (Córdoba) - (05665VT32) – 500 metros</t>
  </si>
  <si>
    <t>25AS111B2159</t>
  </si>
  <si>
    <t>APOYAR AL MUNICIPIO DE EL PEÑOL, CON EL
SUMINISTRO DE MATERIALES POR PARTE DEL DEPARTAMENTO DE
ANTIOQUIA PARA LLEVAR A CABO EL MEJORAMIENTO DE VÍAS TERCIARIAS
UBICADAS EN EL MUNICIPIO ASOCIADO</t>
  </si>
  <si>
    <t xml:space="preserve">VÍA LA CHAPA
VÍA LOS JARAMILLOS
VIA PALESTINA
VÍA RUTA NATURALEZA Y
EMBALSES
VIA SAN VICENTE-EL PEÑOL
</t>
  </si>
  <si>
    <t>04/02/2026 avance de obra 95%, por liquidar
TERMINADO 100%</t>
  </si>
  <si>
    <t xml:space="preserve"> "ARTICULAR Y COORDINAR ESFUERZOS ENTRE EL DEPARTAMENTO DE
ANTIOQUIA Y EL MUNICIPIO DE COCORNÁ PARA EL MEJORAMIENTO DE VIAS RURALES,
UBICADAS EN EL MUNICIPIO ASOCIADO".</t>
  </si>
  <si>
    <t xml:space="preserve">VIA SANTA BÁRBARA C.E.R EL MOLINO CÓDIGO 05197VT56,
</t>
  </si>
  <si>
    <t>17/04/2026 avance de obra 95%, por liquidar</t>
  </si>
  <si>
    <t>25AS111B2350</t>
  </si>
  <si>
    <t>APOYAR AL MUNICIPIO DE NARIÑO, CON EL SUMINISTRO DE MATERIALES POR PARTE
DEL DEPARTAMENTO DE ANTIOQUIA PARA LLEVAR A CABO EL MEJORAMIENTO DE VÍAS TERCIARIAS
UBICADAS EN EL MUNICIPIO ASOCIADO.</t>
  </si>
  <si>
    <t xml:space="preserve">• Vía Nariño - Guamito (05483VT04) - 300m
• Vía El Recreo - Guamal (05483VT03) - 60m
• Vía Nariño - El Llano - Pedrera (05483VT128) - 60m
</t>
  </si>
  <si>
    <t>25AS111B2664</t>
  </si>
  <si>
    <t>APOYAR AL MUNICIPIO DE LA UNIÓN . CON EL SUMINISTRO DE MATERIALES POR
PARTE DEL DEPARTAMENTO DE ANTIOQUIA PARA LLEVAR A CABO EL MEJORAMIENTO DE
VÍAS TERCIARIAS UBICADAS EN EL MUNICIPIO ASOCIADO</t>
  </si>
  <si>
    <t>• Vía San Juan (El Alto) - Finca Panamá, sector "La Paulina" 05400VT89
• Vía Nacional - Mazorcal (Picados) sector puente Rio Piedras 05400VT38
• Vía San Miguel A. (Alto Del Dulce) - Chascarala (Sector la capilla - Escuela) 05400VT193
Las cuales representan 500 metros lineales de vías terciarias.</t>
  </si>
  <si>
    <t>terminado 100%</t>
  </si>
  <si>
    <t>25AS111B2663</t>
  </si>
  <si>
    <t>APOYAR AL MUNICIPIO DE EL PEÑOL, CON EL
SUMINISTRO DE MATERIALES POR PARTE DEL
DEPARTAMENTO DE ANTIOQUIA PARA LLEVAR A CABO
EL MEJORAMIENTO DE VÍAS TERCIARIAS UBICADAS EN
EL MUNICIPIO ASOCIADO.</t>
  </si>
  <si>
    <t>25AS111B2662</t>
  </si>
  <si>
    <t>APOYAR AL MUNICIPIO DE SAN CARLOS, CON EL SUMINISTRO DE MATERIALES POR
PARTE DEL DEPARTAMENTO DE ANTIOQUIA PARA LLEVAR A CABO EL MEJORAMIENTO DE
VÍAS TERCIARIAS UBICADAS EN EL MUNICIPIO ASOCIADO</t>
  </si>
  <si>
    <t>• Vía Vallejuelo – El Tabor (05649VT02)
• Vía El Chocó – Hortoná (05649VT07)
• Vía El Jordán – La Luz (05649VT25)
• Vía La Holanda – Agua Linda (05649VT27</t>
  </si>
  <si>
    <t>17/04/2026 avance de obra 60%, por liquidar</t>
  </si>
  <si>
    <t>25AS111B2689</t>
  </si>
  <si>
    <t>APOYAR AL MUNICIPIO DE NARIÑO, CON EL SUMINISTRO DE MATERIALES POR PARTE DEL DEPARTAMENTO DE ANTIOQUIA PARA LLEVAR A CABO EL MEJORAMIENTO DE VÍAS TERCIARIAS UBICADAS EN EL MUNICIPIO ASOCIADO</t>
  </si>
  <si>
    <t>• Nariño – Guaimito</t>
  </si>
  <si>
    <t>25AS111B2226</t>
  </si>
  <si>
    <t>SAN ANDRÉS DE CUERQUIA</t>
  </si>
  <si>
    <t>APOYAR AL MUNICIPIO DE SAN ANDRÉS DE CUERQUIA,
CON EL SUMINISTRO DE MATERIALES POR PARTE DEL DEPARTAMENTO DE
ANTIOQUIA PARA LLEVAR A CABO EL MEJORAMIENTO DE VÍAS TERCIARIAS.
UBICADAS EN EL MUNICIPIO ASOCIADO.</t>
  </si>
  <si>
    <t xml:space="preserve">Vía Chorrera
(05647VT06) 200 metros; Vía Loma del Indio (05647VT08) 400 metros; Vía Aguacatal
(05647VT10) 200 metros; Vía Travesías (05647Vri6) 200 metros
</t>
  </si>
  <si>
    <t>24/04/2026 TERMINADO 100%</t>
  </si>
  <si>
    <t>25AS111B2637</t>
  </si>
  <si>
    <t>APOYAR AL MUNICIPIO DE BRICEÑO, CON EL SUMINISTRO DE MATERIALES POR PARTE DEL DEPARTAMENTO DE ANTIOQUIA PARA LLEVAR A CABO EL MEJORAMIENTO DE VÍAS TERCIARIAS UBICADAS EN EL MUNICIPIO ASOCIADO</t>
  </si>
  <si>
    <t>• Travesias – El Roblal (La Y) (05107VT34)
• Valle de Toledo – Alto de Chiri (05107VT03)
• Las Auras – El Polvillo – La Palestina (05107VT08)</t>
  </si>
  <si>
    <t>25AS111B2651</t>
  </si>
  <si>
    <t>APOYAR AL MUNICIPIO DE TOLEDO, CON EL SUMINISTRO DE MATERIALES POR PARTE DEL DEPARTAMENTO DE ANTIOQUIA PARA LLEVAR A CABO EL MEJORAMIENTO DE VÍAS TERCIARIAS UBICADAS EN EL MUNICIPIO ASOCIADO</t>
  </si>
  <si>
    <t>Las Auras – El Polvillo – La Palestina (05107VT08)</t>
  </si>
  <si>
    <t xml:space="preserve">16/12/2025 se entrego todo el material
29/01/2026 Avance de obra 40%, terminan contra liquidación
24/04/2026 avance de obra 50%
</t>
  </si>
  <si>
    <t>VALENTINA LOPERA RAMÍREZ</t>
  </si>
  <si>
    <t>25AS111B2773</t>
  </si>
  <si>
    <t>BETULIA</t>
  </si>
  <si>
    <t>JAC VEREDA EL GUADUAL</t>
  </si>
  <si>
    <t>ARTICULAR Y COORDINAR ESFUERZOS ENTRE EL DEPARTAMENTO DE ANTIOQUIA Y LA JUNTA DE ACCIÓN COMUNAL VEREDA EL GUADUAL PARA LA EJECUCIÓN DEL MEJORAMIENTO VIAL EN EL MUNICIPIO DE BETULIA, ANTIOQUIA</t>
  </si>
  <si>
    <t>Vía denominada Familia Castaño código 05093VT70 en una extensión de 100 metros</t>
  </si>
  <si>
    <t xml:space="preserve">prorroga por 35 dias hasta el 4 de abril
27/03/2026 avance de obra 30
10/04/2026 avance de obra 90%
17/04/2026 acta de terminación con compromisos ,avance de obra 90%
</t>
  </si>
  <si>
    <t>25AS111B2780</t>
  </si>
  <si>
    <t>JAC VEREDA LOS ANIMES</t>
  </si>
  <si>
    <t>ARTICULAR Y COORDINAR ESFUERZOS ENTRE EL DEPARTAMENTO DE ANTIOQUIA Y LA JUNTA DE ACCIÓN COMUNAL VEREDA LOS ANIMES PARA LA EJECUCIÓN DEL MEJORAMIENTO VIAL EN EL MUNICIPIO DE BETULIA, ANTIOQUIA</t>
  </si>
  <si>
    <t>VIA A LOS ANIMES (05093VT02) - 100 metros</t>
  </si>
  <si>
    <t xml:space="preserve">     13/02/2026 SUSPENDIDO desde el 12 de febrero por 20 dias, hasta el 3 de marzo, reanuda el 4 de marzo
18/03/2026 PRORROGA por 1 mes, hasta el 20/04/2026
10/04/2026 SUSPEDIDO por 20 dias, termina el 12 de mayo del 2026
12/05/2026 TERMINADO 100%
</t>
  </si>
  <si>
    <t>JONATHAN MARÍN GALLEGO</t>
  </si>
  <si>
    <t>25AS111B2809</t>
  </si>
  <si>
    <t>JAC VEREDA GUACAS BELLAVISTA</t>
  </si>
  <si>
    <t>ARTICULAR Y COORDINAR ESFUERZOS ENTRE EL DEPARTAMENTO DE ANTIOQUIA Y LA JUNTA DE ACCIÓN COMUNAL VEREDA GUACAS BELLAVISTA PARA LA EJECUCIÓN DEL MEJORAMIENTO VIAL EN EL MUNICIPIO DE SAN ROQUE, ANTIOQUIA</t>
  </si>
  <si>
    <t xml:space="preserve">VÍA CRISTALES - GUACAS ABAJO (05670VT29) </t>
  </si>
  <si>
    <t xml:space="preserve">
TERMINADO 100%, por liquidar
</t>
  </si>
  <si>
    <t>25AS111B2813</t>
  </si>
  <si>
    <t>JAC VEREDA PALMIRITA</t>
  </si>
  <si>
    <t>ARTICULAR Y COORDINAR ESFUERZOS ENTRE EL DEPARTAMENTO DE ANTIOQUIA Y LA JUNTA DE ACCIÓN COMUNAL VEREDA PALMIRITA PARA LA EJECUCIÓN DEL MEJORAMIENTO VIAL EN EL MUNICIPIO DE COCORNÁ, ANTIOQUIA.</t>
  </si>
  <si>
    <t>VÍA AUTOPISTA – ESCUELA PALMIRITA (05197VT13) – 200 METROS LÍNEALES.</t>
  </si>
  <si>
    <t>25AS111B2781</t>
  </si>
  <si>
    <t>JAC VEREDA LA SOLITA</t>
  </si>
  <si>
    <t>ARTICULAR Y COORDINAR ESFUERZOS ENTRE EL DEPARTAMENTO DE ANTIOQUIA Y LA JUNTA DE ACCIÓN COMUNAL VEREDA LA SOLITA PARA LA EJECUCIÓN DEL MEJORAMIENTO VIAL EN EL MUNICIPIO DE ANDES, ANTIOQUIA</t>
  </si>
  <si>
    <t>VÍA LA SOLITA CON CÓDIGO (05034VT01) - 200 METROS</t>
  </si>
  <si>
    <t>LORENA LONDOÑO GRAJALES</t>
  </si>
  <si>
    <t>25AS111B2789</t>
  </si>
  <si>
    <t>BARBOSA</t>
  </si>
  <si>
    <t>JAC VEREDA AGUAS CLARAS</t>
  </si>
  <si>
    <t>ARTICULAR Y COORDINAR ESFUERZOS ENTRE EL DEPARTAMENTO DE ANTIOQUIA Y LA JUNTA DE ACCIÓN COMUNAL VEREDA AGUAS CLARAS PARA LA EJECUCIÓN DEL MEJORAMIENTO VIAL EN EL MUNICIPIO DE BARBOSA, ANTIOQUIA</t>
  </si>
  <si>
    <t>TABLAZO - POPALITO (SECTOR AGUAS CLARAS ABAJO) CÓDIGO (05079VT39) - 200 METROS</t>
  </si>
  <si>
    <t>CATALINA BUITRAGO OROZCO</t>
  </si>
  <si>
    <t>25AS111B2801</t>
  </si>
  <si>
    <t>ASOCOMUNAL MPO CAÑASGORDAS</t>
  </si>
  <si>
    <t>ARTICULAR Y COORDINAR ESFUERZOS ENTRE EL DEPARTAMENTO DE ANTIOQUIA Y LA ASOCIACIÓN DE JUNTAS DE ACCIÓN COMUNAL Y VIVIENDA COMUNITARIA DEL MUNICIPIO DE CAÑASGORDAS PARA LA EJECUCIÓN DEL MEJORAMIENTO VIAL EN EL MUNICIPIO DE CAÑASGORDAS ANTIOQUIA.</t>
  </si>
  <si>
    <t>VÍA CAÑASGORDAS-MEDIACUESTA- CANELITO identifica con código 05138VT13, ubicada en la zona de influencia de la vereda Mediacuesta.</t>
  </si>
  <si>
    <t xml:space="preserve">
23/04/2026 porrroga a la suspensión # 1 del 16 de abril al 15 de mayo de 2026
14/06/2026  reanudado el 30 de abril y finalizado el 5 de mayo
TERMINADO 100%
25/05/2026 la Jac esta organizando la documentación para el desembolso #2
</t>
  </si>
  <si>
    <t>25AS111B2794</t>
  </si>
  <si>
    <t>JAC VEREDA LA UNIÓN</t>
  </si>
  <si>
    <t>ARTICULAR Y COORDINAR ESFUERZOS ENTRE EL DEPARTAMENTO DE ANTIOQUIA Y LA JUNTA DE ACCION COMUNAL VEREDA LA UNION PARA LA EJECUCIÓN DEL MEJORAMIENTO VIAL EN EL MUNICIPIO DE CAÑASGORDAS ANTIOQUIA</t>
  </si>
  <si>
    <t>VÍA EL EDEN - LA UNION código 05138VT20.</t>
  </si>
  <si>
    <t>SUSPENDIDO</t>
  </si>
  <si>
    <t xml:space="preserve">23/04/2026 porrroga a la suspensión # 1 del 16 de abril al 15 de mayo de 2026
15/05/2026 amplió la suspensión hasta el 16 de junio
</t>
  </si>
  <si>
    <t>25AS111B2798</t>
  </si>
  <si>
    <t>JAC VEREDA GUAYABAL CGTO CESTILLAL</t>
  </si>
  <si>
    <t>ARTICULAR Y COORDINAR ESFUERZOS ENTRE EL DEPARTAMENTO DE ANTIOQUIA Y LA JUNTA DE ACCIÓN COMUNAL VEREDA GUAYABAL CORREGIMIENTO CESTILLAL PARA LA EJECUCIÓN DEL MEJORAMIENTO VIAL EN EL MUNICIPIO DE CAÑASGORDAS, ANTIOQUIA</t>
  </si>
  <si>
    <t>Cestillal - Guayabal  código 05138VT04</t>
  </si>
  <si>
    <t>28/04/2026 terminado 100%, pendiente visita a campo para poder liquidar, pendiente último pago del 5%</t>
  </si>
  <si>
    <t>25AS111B2795</t>
  </si>
  <si>
    <t>JAC AGUAS CLARAS</t>
  </si>
  <si>
    <t>ARTICULAR Y COORDINAR ESFUERZOS ENTRE EL DEPARTAMENTO DE ANTIOQUIA Y LA JUNTA DE ACCIÓN COMUNAL AGUAS CLARAS PARA LA EJECUCIÓN DEL MEJORAMIENTO VIAL EN EL MUNICIPIO DE EL CARMEN DE VIBORAL</t>
  </si>
  <si>
    <t>El Cerro con código 05148VT128 100 METROS</t>
  </si>
  <si>
    <t xml:space="preserve">05/02/2026 se realizó primer desembolso
27/02/2026 SUSPENDIDO hasta el 3 de marzo 2026, nueva fecha de terminación 20 de marzo de 2026
18/03/2026 TERMINADO 100%
</t>
  </si>
  <si>
    <t>25AS111B2783</t>
  </si>
  <si>
    <t>JAC VEREDA ANGOSTURA PARTE ALTA</t>
  </si>
  <si>
    <t>ARTICULAR Y COORDINAR ESFUERZOS ENTRE EL DEPARTAMENTO DE ANTIOQUIA Y LA JUNTA DE ACCIÓN COMUNAL VEREDA ANGOSTURA PARTE ALTA PARA LA EJECUCIÓN DEL MEJORAMIENTO VIAL EN EL MUNICIPIO DE CIUDAD BOLIVAR ANTIOQUIA</t>
  </si>
  <si>
    <t>VÍA ANGOSTURA PARTE ALTA (ALTO DE LOS JARAMILLOS) con código 05101VT10.</t>
  </si>
  <si>
    <t xml:space="preserve">29/12/2026 SUSPENDIDO hasta 13 de enero 2026  
26/01/2026 se reanudó el 14 de enero, en ejecución, termina el 10/02/2026
05/02/2026 SUSPENDIDO por 30 dias, hasta el 6 de marzo
18/03/2026 PRORROGA por 30 dias, termina el 11 de abril de 2026  
10/04/2026 avance de obra 75%
17/04/2026 avance de obra 80%
</t>
  </si>
  <si>
    <t>25AS111B2791</t>
  </si>
  <si>
    <t>JAC VEREDA LA BAMBA</t>
  </si>
  <si>
    <t>ARTICULAR Y COORDINAR ESFUERZOS ENTRE EL DEPARTAMENTO DE ANTIOQUIA Y LA JUNTA DE ACCIÓN COMUNAL VEREDA LA BAMBA PARA LA EJECUCIÓN DEL MEJORAMIENTO VIAL EN EL MUNICIPIO DE EL BAGRE, ANTIOQUIA.</t>
  </si>
  <si>
    <t>Vía denominada El Bagre – Puerto Claver con código 05250VT22</t>
  </si>
  <si>
    <t xml:space="preserve">17/02/2026 ejecución obra 10%
27/02/2026 Suspendido por 30 dias Del 25 de febrero al 27 de marzo
06/04/2026 ampliación a la suspensión 1 por 20 dias hasta el 26 de abril
14/05/2026 ampliación a la suspensión, termina 17/06/2026
</t>
  </si>
  <si>
    <t>25AS111B2788</t>
  </si>
  <si>
    <t>JAC VEREDA HORIZONTES</t>
  </si>
  <si>
    <t>ARTICULAR Y COORDINAR ESFUERZOS ENTRE EL DEPARTAMENTO DE ANTIOQUIA Y LA JUNTA DE ACCIÓN COMUNAL VEREDA HORIZONTES PARA LA EJECUCIÓN DEL MEJORAMIENTO VIAL EN EL MUNICIPIO DE EL PEÑOL</t>
  </si>
  <si>
    <t>VÍA PANTALEÓN código (05541VT166) - 100 metros</t>
  </si>
  <si>
    <t>10/03/2026 terminado, por liquidar</t>
  </si>
  <si>
    <t>25AS111B2800</t>
  </si>
  <si>
    <t>JAC VEREDA BELLAVISTA</t>
  </si>
  <si>
    <t>ARTICULAR Y COORDINAR ESFUERZOS ENTRE EL DEPARTAMENTO DE ANTIOQUIA Y LA JUNTA DE ACCIÓN COMUNAL VEREDA BELLA VISTA PARA LA EJECUCIÓN DEL MEJORAMIENTO VIAL EN EL MUNICIPIO DE GUARNE, ANTIOQUIA</t>
  </si>
  <si>
    <t>VÍA BELLA VISTA – CHAPARRAL CON CÓDIGO (05318VT30) - 100 METROS</t>
  </si>
  <si>
    <t>24/04/2026 terminado 100%, pendiente último desembolso y  liquidar</t>
  </si>
  <si>
    <t>25AS111B2799</t>
  </si>
  <si>
    <t>JAC VEREDA LOS LABRIEGOS</t>
  </si>
  <si>
    <t>ARTICULAR Y COORDINAR ESFUERZOS ENTRE EL DEPARTAMENTO DE ANTIOQUIA Y LA JUNTA DE ACCIÓN COMUNAL VEREDA LOS LABRIEGOS PARA LA EJECUCIÓN DEL MEJORAMIENTO VIAL EN EL MUNICIPIO DE GUARNE, ANTIOQUIA</t>
  </si>
  <si>
    <t>VÍA SAN ANTONIO PARTE ALTA (05318VT99) - 100 METROS</t>
  </si>
  <si>
    <t>05/02/2026 en tramite de desembolso
18/03/2026 SUSPPENDIDO por 1 mes hasta el 13 de abril de 2026
24/04/2026 prorroga por 1 mes, nueva fecha de terminación 14 de mayo de 2026
14/05/2026 Avance de obra 60%</t>
  </si>
  <si>
    <t>25AS111B2796</t>
  </si>
  <si>
    <t>GUATAPÉ</t>
  </si>
  <si>
    <t>JAC VEREDA EL ROSARIO</t>
  </si>
  <si>
    <t>ARTICULAR Y COORDINAR ESFUERZOS ENTRE EL DEPARTAMENTO DE ANTIOQUIA Y LA JUNTA DE ACCIÓN COMUNAL VEREDA EL ROSARIO PARA LA EJECUCIÓN DEL MEJORAMIENTO VIAL EN EL MUNICIPIO DE GUATAPÉ, ANTIOQUIA</t>
  </si>
  <si>
    <t>VÍA EL ROSARIO (05321VT43) - 100 METROS</t>
  </si>
  <si>
    <t>10/03/2026 SUSPENDIDO hasta el 16 de marzo, nueva fecha de terminación 28 de marzo
27/03/2026 terminado 100%, Pagado a la junta el 30% pendientes de entregar toda la documentación y obra para el pago restante</t>
  </si>
  <si>
    <t>25AS111B2787</t>
  </si>
  <si>
    <t>JAC VEREDA LOS BOTES</t>
  </si>
  <si>
    <t>ARTICULAR Y COORDINAR ESFUERZOS ENTRE EL DEPARTAMENTO DE ANTIOQUIA Y LA JUNTA DE ACCIÓN COMUNAL VEREDA LOS BOTES PARA LA EJECUCIÓN DEL MEJORAMIENTO VIAL EN EL MUNICIPIO DE HELICONIA ANTIOQUIA.</t>
  </si>
  <si>
    <t>Vía denominada Los Botes con código (05347VT11)</t>
  </si>
  <si>
    <t xml:space="preserve">
18/03/2026 Terminado 100%, pendiente , por liquidar</t>
  </si>
  <si>
    <t>DAISY LORENA DUQUE SEPÚLVEDA</t>
  </si>
  <si>
    <t>25AS111B2779</t>
  </si>
  <si>
    <t>JAC VEREDA BUENAVISTA</t>
  </si>
  <si>
    <t>ARTICULAR Y COORDINAR ESFUERZOS ENTRE EL DEPARTAMENTO DE ANTIOQUIA Y LA JUNTA DE ACCIÓN COMUNAL VEREDA BUENAVISTA PARA LA EJECUCIÓN DEL MEJORAMIENTO VIAL EN EL MUNICIPIO DE LA UNIÓN</t>
  </si>
  <si>
    <t>VÍA BUENAVISTA – LAS BRISAS PUENTE TABLAS – PIEDRAS SECTOR MAURO VÁSQUEZ código (05400VT114) - 100 METROS</t>
  </si>
  <si>
    <t xml:space="preserve">
19/02/2026 TERMINADO 100%, pendiente visita a campo para verificar obra 
24/04/2026 terminado 100%, por liquidar, pendiente último desembolso</t>
  </si>
  <si>
    <t>25AS111B2774</t>
  </si>
  <si>
    <t>JAC VEREDA GAVIRIA</t>
  </si>
  <si>
    <t>ARTICULAR Y COORDINAR ESFUERZOS ENTRE EL DEPARTAMENTO DE ANTIOQUIA Y LA JUNTA DE ACCIÓN COMUNAL VEREDA GAVIRIA PARA LA EJECUCIÓN DEL MEJORAMIENTO VIAL EN EL MUNICIPIO DE MARINILLLA</t>
  </si>
  <si>
    <t>VÍA MARINILLA EL SANTUARIO CARMEN DE VIBORAL - SAN JUAN BOSCO-GAVIRIA - VÍA MARINILLA NUEVO PEÑOL (05440VT28) - 200 METROS</t>
  </si>
  <si>
    <t>24/04/2026 Avance de obra 95%, pendiente último desembolso</t>
  </si>
  <si>
    <t>25AS111B2803</t>
  </si>
  <si>
    <t>JAC VEREDA EL ROBLE</t>
  </si>
  <si>
    <t>ARTICULAR Y COORDINAR ESFUERZOS ENTRE EL DEPARTAMENTO DE ANTIOQUIA Y LA JUNTA DE ACCIÓN COMUNAL VEREDA EL ROBLE PARA LA EJECUCIÓN DEL MEJORAMIENTO VIAL EN EL MUNICIPIO DE NARIÑO, ANTIOQUIA</t>
  </si>
  <si>
    <t>VEREDA EL ROBLE</t>
  </si>
  <si>
    <t>terminado 100%, por liquidar, pendiente último desembolso</t>
  </si>
  <si>
    <t>25AS111B2790</t>
  </si>
  <si>
    <t>JAC VEREDA EL LIMÓN</t>
  </si>
  <si>
    <t>ARTICULAR Y COORDINAR ESFUERZOS ENTRE EL DEPARTAMENTO DE ANTIOQUIA Y LA JUNTA DE ACCIÓN COMUNAL VEREDA EL LIMÓN PARA LA EJECUCIÓN DEL MEJORAMIENTO VIAL EN EL MUNICIPIO DE NARIÑO</t>
  </si>
  <si>
    <t>VEREDA EL LIMÓN</t>
  </si>
  <si>
    <t>25AS111B2792</t>
  </si>
  <si>
    <t>ASOCOMUNAL MPO SAN RAFAEL</t>
  </si>
  <si>
    <t>ARTICULAR Y COORDINAR ESFUERZOS ENTRE EL DEPARTAMENTO DE ANTIOQUIA Y ASOCIACIÓN DE JUNTAS DE ACCIÓN COMUNAL Y VIVIENDA COMUNITARIA PARA LA EJECUCIÓN DEL MEJORAMIENTO VIAL EN EL MUNICIPIO DE SAN RAFAEL</t>
  </si>
  <si>
    <t>VÍA ARENAL -LA RÁPIDA (05667VT181) 100 METROS</t>
  </si>
  <si>
    <t>03/02/2026 terminada 100% la obra, pendiente ultimo desembolso, por liquidar, con acta de terminación</t>
  </si>
  <si>
    <t>25AS111B2802</t>
  </si>
  <si>
    <t>JAC VEREDA LA COMPAÑIA</t>
  </si>
  <si>
    <t>ARTICULAR Y COORDINAR ESFUERZOS ENTRE EL DEPARTAMENTO DE ANTIOQUIA Y LA JUNTA DE ACCIÓN COMUNAL VEREDA LA COMPAÑÍA SAN ANTONIO PARA LA EJECUCIÓN DEL MEJORAMIENTO VIAL EN EL MUNICIPIO DE SAN VICENTE, ANTIOQUIA.</t>
  </si>
  <si>
    <t>VÍA SAN ANTONIO - LAS HOJAS 05674VT32 - 100 metros</t>
  </si>
  <si>
    <t>24/04/2026 terminado, pendiente último desembolso y liquidar</t>
  </si>
  <si>
    <t>25AS111B2797</t>
  </si>
  <si>
    <t>SANTO DOMINGO</t>
  </si>
  <si>
    <t>JAC VEREDA LA ESPERANZA</t>
  </si>
  <si>
    <t>ARTICULAR Y COORDINAR ESFUERZOS ENTRE EL DEPARTAMENTO DE ANTIOQUIA Y LA JUNTA DE ACCIÓN COMUNAL VEREDA LA ESPERANZA PARA LA EJECUCIÓN DEL MEJORAMIENTO VIAL EN EL MUNICIPIO DE SANTO DOMINGO, ANTIOQUIA</t>
  </si>
  <si>
    <t>29/01/2026  avance de obra 85%, con acta de terminación, por liquidar</t>
  </si>
  <si>
    <t>25AS111B2777</t>
  </si>
  <si>
    <t>JAC VEREDA GUADALEJO</t>
  </si>
  <si>
    <t>ARTICULAR Y COORDINAR ESFUERZOS ENTRE EL DEPARTAMENTO DE ANTIOQUIA Y LA JUNTA DE ACCIÓN COMUNAL VEREDA GUADUALEJO PARA LA EJECUCIÓN DEL MEJORAMIENTO VIAL EN EL MUNICIPIO DE SANTO DOMINGO, ANTIOQUIA</t>
  </si>
  <si>
    <t>Vía Alto de Guadualejo con código (05690VT49</t>
  </si>
  <si>
    <t xml:space="preserve">03/03/2026 SUSPENDIDO por 20 dias hasta el 16 de marzo, nueva fecha de terminacion 27 de marzo
18/03/2026 REANUDADO, termina el 27 de marzo
27/03/20206 Avance de obra 80%
24/04/2026 en revisón del segundo desembolso </t>
  </si>
  <si>
    <t>25AS111B2793</t>
  </si>
  <si>
    <t>JAC VEREDA EL COMBO</t>
  </si>
  <si>
    <t>ARTICULAR Y COORDINAR ESFUERZOS ENTRE EL DEPARTAMENTO DE ANTIOQUIA Y LA JUNTA DE ACCIÓN COMUNAL VEREDA EL COMBO PARA LA EJECUCIÓN DEL MEJORAMIENTO VIAL EN EL MUNICIPIO DE SANTO DOMINGO, ANTIOQUIA</t>
  </si>
  <si>
    <t>VÍA ALTO DE GUADUALEJO (05690VT49) - 100 metros
NOTA: JUNTA DE ACCIÓN COMUNAL VEREDA EL COMBO</t>
  </si>
  <si>
    <t xml:space="preserve">18/03/2026 con acta de terminación, terminado 100% </t>
  </si>
  <si>
    <t>25AS111B2786</t>
  </si>
  <si>
    <t>TURBO</t>
  </si>
  <si>
    <t>JAC CORREGIMIENTO EL DOS</t>
  </si>
  <si>
    <t>ARTICULAR Y COORDINAR ESFUERZOS ENTRE EL DEPARTAMENTO DE ANTIOQUIA Y LA JUNTA DE ACCIÓN COMUNAL CORREGIMIENTO EL DOS PARA LA EJECUCIÓN DEL MEJORAMIENTO VIAL EN EL MUNICIPIO DE TURBO ANTIOQUIA.</t>
  </si>
  <si>
    <t>VÍA EL DOS - PLAYONA con código (05837VT74)</t>
  </si>
  <si>
    <t>20/04/2026 se firmó acta de inicio el 16 de abril</t>
  </si>
  <si>
    <t>25AS111B2785</t>
  </si>
  <si>
    <t>JAC CORREGIMIENTO VILLANUEVA</t>
  </si>
  <si>
    <t>ARTICULAR Y COORDINAR ESFUERZOS ENTRE EL DEPARTAMENTO DE ANTIOQUIA Y LA JUNTA DE ACCIÓN COMUNAL CORREGIMIENTO VILLA NUEVA PARA LA EJECUCIÓN DEL MEJORAMIENTO VIAL EN EL MUNICIPIO DE YOLOMBÓ</t>
  </si>
  <si>
    <t>Vía denominada Bengala Parte Baja - Corregimiento Villanueva con código 05890VT08.</t>
  </si>
  <si>
    <t>18/03/2026 SUSPENDIDO por 1.5 meses, hasta el 19 de abril
21/04/2026 Ampliación a la suspensión hasta el 20 de mayo de 2026
21/05/2026 se reanudó, termina el 31/05/2026</t>
  </si>
  <si>
    <t>25AS111B2818</t>
  </si>
  <si>
    <t>ARBOLETES</t>
  </si>
  <si>
    <t>JAC VEREDA PAJILLAL</t>
  </si>
  <si>
    <t>ARTICULAR Y COORDINAR ESFUERZOS ENTRE EL DEPARTAMENTO DE ANTIOQUIA Y LA JUNTA DE ACCIÓN COMUNAL VEREDA PAJILLAL PARA LA EJECUCIÓN DEL MEJORAMIENTO VIAL EN EL MUNICIPIO DE ARBOLETES, ANTIOQUIA</t>
  </si>
  <si>
    <t>VÍA DENOMINADA PAJILLAL (05051VT22) – 100 METROS LÍNEALES.</t>
  </si>
  <si>
    <t>11/05/2026 TERMINADO AL 100%, por liquidar</t>
  </si>
  <si>
    <t>25AS111B2814</t>
  </si>
  <si>
    <t>JAC VEREDA LAS CABRAS</t>
  </si>
  <si>
    <t xml:space="preserve"> OCCIDENTE</t>
  </si>
  <si>
    <t>ARTICULAR Y COORDINAR ESFUERZOS ENTRE EL DEPARTAMENTO DE ANTIOQUIA Y LA JUNTA DE ACCIÓN COMUNAL VEREDA LAS CABRAS PARA LA EJECUCIÓN DEL MEJORAMIENTO VIAL EN EL MUNICIPIO DE FRONTINO, ANTIOQUIA.</t>
  </si>
  <si>
    <t>VÍA DENOMINADA CABRITAS (05284VT53) – 100 METROS LÍNEALES.</t>
  </si>
  <si>
    <t>25AS111B2815</t>
  </si>
  <si>
    <t>JAC VEREDA QUEBRADA ARRIBA</t>
  </si>
  <si>
    <t>ARTICULAR Y COORDINAR ESFUERZOS ENTRE EL DEPARTAMENTO DE ANTIOQUIA Y LA JUNTA DE ACCIÓN COMUNAL VEREDA QUEBRADA ARRIBA PARA LA EJECUCIÓN DEL MEJORAMIENTO VIAL EN EL MUNICIPIO DE GUATAPÉ, ANTIOQUIA.</t>
  </si>
  <si>
    <t>VÍA MONASTERIO LAS MONJAS (05321VT06) – 100 METROS LÍNEALES.</t>
  </si>
  <si>
    <t>02/03/2026 SUSPENDIDO por 15 dias hasta el 11 de marzo, termina el 21 de marzo de 2026
18/03/2026 TERMINADO 100%, en proceso del segundo desembolso</t>
  </si>
  <si>
    <t>25AS111B2816</t>
  </si>
  <si>
    <t>JAC VEREDA MULATICO PALESTINA</t>
  </si>
  <si>
    <t>ARTICULAR Y COORDINAR ESFUERZOS ENTRE EL DEPARTAMENTO DE ANTIOQUIA Y LA JUNTA DE ACCIÓN COMUNAL VEREDA MULATICO PALESTINA PARA LA EJECUCIÓN DEL MEJORAMIENTO VIAL EN EL MUNICIPIO DE NECOCLÍ, ANTIOQUIA</t>
  </si>
  <si>
    <t>VÍA DENOMINADA MULATICO PALESTINA (05490VT10) – 100 METROS LÍNEALES</t>
  </si>
  <si>
    <t>20/04/2026 sin acta de inicio
21/05/2026 ya tiene acta de inicio, ejecución 0%</t>
  </si>
  <si>
    <t>25AS111B2819</t>
  </si>
  <si>
    <t>JAC VEREDA PIEDRECITAS</t>
  </si>
  <si>
    <t>ARTICULAR Y COORDINAR ESFUERZOS ENTRE EL DEPARTAMENTO DE ANTIOQUIA Y LA JUNTA DE ACCIÓN COMUNAL VEREDA PIEDRECITAS PARA LA EJECUCIÓN DEL MEJORAMIENTO VIAL EN EL MUNICIPIO DE TURBO, ANTIOQUIA</t>
  </si>
  <si>
    <t>VÍA DENOMINADA PIEDRECITAS (05837VT02) – 100 METROS LÍNEALES</t>
  </si>
  <si>
    <t>25AS111B2817</t>
  </si>
  <si>
    <t>JAC CGTO ALTO DE MULATOS</t>
  </si>
  <si>
    <t>ARTICULAR Y COORDINAR ESFUERZOS ENTRE EL DEPARTAMENTO DE ANTIOQUIA Y LA JUNTA DE ACCIÓN COMUNAL CORREGIMIENTO ALTO MULATOS PARA LA EJECUCIÓN DEL MEJORAMIENTO VIAL EN EL MUNICIPIO DE TURBO, ANTIOQUIA</t>
  </si>
  <si>
    <t>VÍA DENOMINADA ALTOS DE MULATOS – EL BARRO (05837VT11) – 100 METROS LÍNEALES</t>
  </si>
  <si>
    <t>20/04/2026 en ejecución de obra 
25/05/2026 Avance de obra 40%
POR LIQUIDAR</t>
  </si>
  <si>
    <t>ANDRES FELIPE HERRERA CRUZ</t>
  </si>
  <si>
    <t>CABLES AÉREOS</t>
  </si>
  <si>
    <t>CONTRATO INTERADMINISTRATIVO DE MANDATO SIN REPRESENTACIÓN PARA LA ELABORACIÓN DE LOS ESTUDIOS Y DISEÑOS DE DETALLE PARA LA MODERNIZACIÓN DE LOS SISTEMAS DE TRANSPORTE POR CABLE AÉREO – STCA DE LOS MUNICIPIOS DE JARDÍN Y JERICÓ EN EL DEPARTAMENTO DE ANTIOQUIA</t>
  </si>
  <si>
    <t>17/04/2026 en  ejecución los contratos de consultoría e interventoría, A la fecha no se reporta avance físico ni financiero.</t>
  </si>
  <si>
    <t>CONVENIO INTERADMINISTRATIVO PARA LA ADECUACIÓN DE LA
CALLE 21 DEL MUNICIPIO DE COCORNÁ, MEDIANTE LA IMPLEMENTACiÓN DE UNA
INTERVENCIÓN DE URBANISMO TÁCTICO DENOMINADA CALLE CONSCIENTE Y SEGURA"</t>
  </si>
  <si>
    <t>CALLE 21</t>
  </si>
  <si>
    <t>AUNAR ESFUERZOS TÉCNICOS, ADMINISTRATIVOS Y FINANCIEROS ENTRE EL DEPARTAMENTO DE ANTIOQUIA Y EL MUNICIPIO DE CIUDAD BOLIVAR PARA ADELANTAR EL MEJORAMIENTO DE VÍAS URBANAS</t>
  </si>
  <si>
    <t>Calle 51 entre Carrera 49 y 50</t>
  </si>
  <si>
    <t xml:space="preserve">22/05/2026 ejecurado 100% obra / 100% financiero , en proceso de liquidación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</si>
</sst>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/yyyy"/>
    <numFmt numFmtId="165" formatCode="_-&quot;$&quot;\ * #,##0_-;\-&quot;$&quot;\ * #,##0_-;_-&quot;$&quot;\ * &quot;-&quot;??_-;_-@"/>
    <numFmt numFmtId="166" formatCode="&quot;$&quot;\ #,##0"/>
    <numFmt numFmtId="167" formatCode="yyyy\-mm\-dd"/>
    <numFmt numFmtId="168" formatCode="0.0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FF0000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</fills>
  <borders count="8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2" fillId="0" fontId="1" numFmtId="2" xfId="0" applyAlignment="1" applyBorder="1" applyFont="1" applyNumberForma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4" fillId="0" fontId="1" numFmtId="164" xfId="0" applyAlignment="1" applyBorder="1" applyFont="1" applyNumberForma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5" fillId="2" fontId="2" numFmtId="0" xfId="0" applyAlignment="1" applyBorder="1" applyFill="1" applyFont="1">
      <alignment horizontal="center" readingOrder="0" vertical="center"/>
    </xf>
    <xf borderId="6" fillId="2" fontId="2" numFmtId="0" xfId="0" applyAlignment="1" applyBorder="1" applyFont="1">
      <alignment horizontal="center" readingOrder="0" shrinkToFit="0" vertical="center" wrapText="1"/>
    </xf>
    <xf borderId="5" fillId="2" fontId="2" numFmtId="0" xfId="0" applyAlignment="1" applyBorder="1" applyFont="1">
      <alignment horizontal="center" readingOrder="0" shrinkToFit="0" vertical="center" wrapText="1"/>
    </xf>
    <xf borderId="7" fillId="2" fontId="1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horizontal="center" readingOrder="0" shrinkToFit="0" vertical="center" wrapText="1"/>
    </xf>
    <xf borderId="5" fillId="0" fontId="2" numFmtId="1" xfId="0" applyAlignment="1" applyBorder="1" applyFont="1" applyNumberFormat="1">
      <alignment horizontal="center" readingOrder="0" shrinkToFit="0" vertical="center" wrapText="1"/>
    </xf>
    <xf borderId="5" fillId="0" fontId="1" numFmtId="3" xfId="0" applyAlignment="1" applyBorder="1" applyFont="1" applyNumberFormat="1">
      <alignment horizontal="center" readingOrder="0" vertical="center"/>
    </xf>
    <xf borderId="5" fillId="0" fontId="2" numFmtId="0" xfId="0" applyAlignment="1" applyBorder="1" applyFont="1">
      <alignment horizontal="center" vertical="center"/>
    </xf>
    <xf borderId="5" fillId="0" fontId="2" numFmtId="165" xfId="0" applyAlignment="1" applyBorder="1" applyFont="1" applyNumberFormat="1">
      <alignment horizontal="center" readingOrder="0" shrinkToFit="0" vertical="center" wrapText="1"/>
    </xf>
    <xf borderId="5" fillId="0" fontId="2" numFmtId="166" xfId="0" applyAlignment="1" applyBorder="1" applyFont="1" applyNumberFormat="1">
      <alignment horizontal="center" readingOrder="0" shrinkToFit="0" vertical="center" wrapText="1"/>
    </xf>
    <xf borderId="5" fillId="0" fontId="1" numFmtId="166" xfId="0" applyAlignment="1" applyBorder="1" applyFont="1" applyNumberFormat="1">
      <alignment horizontal="center" shrinkToFit="0" vertical="center" wrapText="1"/>
    </xf>
    <xf borderId="5" fillId="0" fontId="2" numFmtId="166" xfId="0" applyAlignment="1" applyBorder="1" applyFont="1" applyNumberFormat="1">
      <alignment horizontal="center" shrinkToFit="0" vertical="center" wrapText="1"/>
    </xf>
    <xf borderId="5" fillId="0" fontId="1" numFmtId="166" xfId="0" applyAlignment="1" applyBorder="1" applyFont="1" applyNumberFormat="1">
      <alignment horizontal="center" vertical="center"/>
    </xf>
    <xf borderId="5" fillId="0" fontId="1" numFmtId="0" xfId="0" applyAlignment="1" applyBorder="1" applyFont="1">
      <alignment horizontal="center" readingOrder="0" vertical="center"/>
    </xf>
    <xf borderId="5" fillId="0" fontId="3" numFmtId="167" xfId="0" applyAlignment="1" applyBorder="1" applyFont="1" applyNumberFormat="1">
      <alignment horizontal="center" shrinkToFit="0" vertical="center" wrapText="1"/>
    </xf>
    <xf borderId="5" fillId="0" fontId="2" numFmtId="167" xfId="0" applyAlignment="1" applyBorder="1" applyFont="1" applyNumberFormat="1">
      <alignment horizontal="center" readingOrder="0" shrinkToFit="0" vertical="center" wrapText="1"/>
    </xf>
    <xf borderId="5" fillId="0" fontId="2" numFmtId="1" xfId="0" applyAlignment="1" applyBorder="1" applyFont="1" applyNumberFormat="1">
      <alignment horizontal="center" shrinkToFit="0" vertical="center" wrapText="1"/>
    </xf>
    <xf borderId="5" fillId="0" fontId="2" numFmtId="0" xfId="0" applyAlignment="1" applyBorder="1" applyFont="1">
      <alignment horizontal="center" readingOrder="0" vertical="center"/>
    </xf>
    <xf borderId="5" fillId="0" fontId="1" numFmtId="9" xfId="0" applyAlignment="1" applyBorder="1" applyFont="1" applyNumberFormat="1">
      <alignment horizontal="center" vertical="center"/>
    </xf>
    <xf borderId="5" fillId="0" fontId="2" numFmtId="0" xfId="0" applyAlignment="1" applyBorder="1" applyFont="1">
      <alignment horizontal="center" readingOrder="0" shrinkToFit="0" wrapText="1"/>
    </xf>
    <xf borderId="5" fillId="0" fontId="2" numFmtId="164" xfId="0" applyAlignment="1" applyBorder="1" applyFont="1" applyNumberFormat="1">
      <alignment horizontal="center" shrinkToFit="0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wrapText="1"/>
    </xf>
    <xf borderId="5" fillId="0" fontId="2" numFmtId="166" xfId="0" applyAlignment="1" applyBorder="1" applyFont="1" applyNumberFormat="1">
      <alignment horizontal="center" shrinkToFit="0" wrapText="1"/>
    </xf>
    <xf borderId="5" fillId="0" fontId="2" numFmtId="167" xfId="0" applyAlignment="1" applyBorder="1" applyFont="1" applyNumberFormat="1">
      <alignment horizontal="center" shrinkToFit="0" wrapText="1"/>
    </xf>
    <xf borderId="0" fillId="0" fontId="2" numFmtId="167" xfId="0" applyAlignment="1" applyFont="1" applyNumberFormat="1">
      <alignment horizontal="center" shrinkToFit="0" vertical="center" wrapText="1"/>
    </xf>
    <xf borderId="7" fillId="0" fontId="1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5" fillId="0" fontId="2" numFmtId="0" xfId="0" applyAlignment="1" applyBorder="1" applyFont="1">
      <alignment horizontal="center" shrinkToFit="0" vertical="center" wrapText="1"/>
    </xf>
    <xf borderId="6" fillId="0" fontId="2" numFmtId="165" xfId="0" applyAlignment="1" applyBorder="1" applyFont="1" applyNumberFormat="1">
      <alignment horizontal="center" shrinkToFit="0" vertical="center" wrapText="1"/>
    </xf>
    <xf borderId="6" fillId="0" fontId="2" numFmtId="165" xfId="0" applyAlignment="1" applyBorder="1" applyFont="1" applyNumberFormat="1">
      <alignment horizontal="center" readingOrder="0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5" fillId="0" fontId="3" numFmtId="14" xfId="0" applyAlignment="1" applyBorder="1" applyFont="1" applyNumberFormat="1">
      <alignment horizontal="center" vertical="center"/>
    </xf>
    <xf borderId="5" fillId="0" fontId="2" numFmtId="14" xfId="0" applyAlignment="1" applyBorder="1" applyFont="1" applyNumberFormat="1">
      <alignment horizontal="center" readingOrder="0" vertical="center"/>
    </xf>
    <xf borderId="5" fillId="0" fontId="2" numFmtId="165" xfId="0" applyAlignment="1" applyBorder="1" applyFont="1" applyNumberFormat="1">
      <alignment horizontal="center" shrinkToFit="0" vertical="center" wrapText="1"/>
    </xf>
    <xf borderId="5" fillId="0" fontId="1" numFmtId="10" xfId="0" applyAlignment="1" applyBorder="1" applyFont="1" applyNumberFormat="1">
      <alignment horizontal="center" vertical="center"/>
    </xf>
    <xf borderId="5" fillId="0" fontId="1" numFmtId="0" xfId="0" applyAlignment="1" applyBorder="1" applyFont="1">
      <alignment horizontal="center" shrinkToFit="0" vertical="center" wrapText="1"/>
    </xf>
    <xf borderId="0" fillId="0" fontId="2" numFmtId="167" xfId="0" applyAlignment="1" applyFont="1" applyNumberFormat="1">
      <alignment horizontal="center" shrinkToFit="0" wrapText="1"/>
    </xf>
    <xf borderId="0" fillId="0" fontId="2" numFmtId="0" xfId="0" applyAlignment="1" applyFont="1">
      <alignment horizontal="center" vertical="center"/>
    </xf>
    <xf borderId="0" fillId="0" fontId="2" numFmtId="166" xfId="0" applyAlignment="1" applyFont="1" applyNumberFormat="1">
      <alignment horizontal="center" shrinkToFit="0" wrapText="1"/>
    </xf>
    <xf borderId="0" fillId="0" fontId="2" numFmtId="0" xfId="0" applyAlignment="1" applyFont="1">
      <alignment horizontal="center" readingOrder="0" shrinkToFit="0" vertical="center" wrapText="1"/>
    </xf>
    <xf borderId="5" fillId="0" fontId="1" numFmtId="3" xfId="0" applyAlignment="1" applyBorder="1" applyFont="1" applyNumberFormat="1">
      <alignment horizontal="center" vertical="center"/>
    </xf>
    <xf borderId="5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6" fillId="0" fontId="2" numFmtId="166" xfId="0" applyAlignment="1" applyBorder="1" applyFont="1" applyNumberFormat="1">
      <alignment horizontal="center" readingOrder="0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5" fillId="0" fontId="2" numFmtId="14" xfId="0" applyAlignment="1" applyBorder="1" applyFont="1" applyNumberFormat="1">
      <alignment horizontal="center" vertical="center"/>
    </xf>
    <xf borderId="6" fillId="0" fontId="2" numFmtId="166" xfId="0" applyAlignment="1" applyBorder="1" applyFont="1" applyNumberFormat="1">
      <alignment horizontal="center" shrinkToFit="0" vertical="center" wrapText="1"/>
    </xf>
    <xf borderId="6" fillId="0" fontId="2" numFmtId="0" xfId="0" applyAlignment="1" applyBorder="1" applyFont="1">
      <alignment horizontal="center" readingOrder="0" shrinkToFit="0" vertical="center" wrapText="1"/>
    </xf>
    <xf borderId="6" fillId="0" fontId="2" numFmtId="1" xfId="0" applyAlignment="1" applyBorder="1" applyFont="1" applyNumberFormat="1">
      <alignment horizontal="center" readingOrder="0" shrinkToFit="0" vertical="center" wrapText="1"/>
    </xf>
    <xf borderId="6" fillId="0" fontId="1" numFmtId="3" xfId="0" applyAlignment="1" applyBorder="1" applyFont="1" applyNumberFormat="1">
      <alignment horizontal="center" vertical="center"/>
    </xf>
    <xf borderId="6" fillId="0" fontId="2" numFmtId="0" xfId="0" applyAlignment="1" applyBorder="1" applyFont="1">
      <alignment horizontal="center" vertical="center"/>
    </xf>
    <xf borderId="6" fillId="0" fontId="1" numFmtId="166" xfId="0" applyAlignment="1" applyBorder="1" applyFont="1" applyNumberFormat="1">
      <alignment horizontal="center" shrinkToFit="0" vertical="center" wrapText="1"/>
    </xf>
    <xf borderId="6" fillId="0" fontId="1" numFmtId="166" xfId="0" applyAlignment="1" applyBorder="1" applyFont="1" applyNumberFormat="1">
      <alignment horizontal="center" vertical="center"/>
    </xf>
    <xf borderId="6" fillId="0" fontId="1" numFmtId="0" xfId="0" applyAlignment="1" applyBorder="1" applyFont="1">
      <alignment horizontal="center" readingOrder="0" vertical="center"/>
    </xf>
    <xf borderId="6" fillId="0" fontId="3" numFmtId="167" xfId="0" applyAlignment="1" applyBorder="1" applyFont="1" applyNumberFormat="1">
      <alignment horizontal="center" shrinkToFit="0" vertical="center" wrapText="1"/>
    </xf>
    <xf borderId="6" fillId="0" fontId="2" numFmtId="167" xfId="0" applyAlignment="1" applyBorder="1" applyFont="1" applyNumberFormat="1">
      <alignment horizontal="center" readingOrder="0" shrinkToFit="0" vertical="center" wrapText="1"/>
    </xf>
    <xf borderId="6" fillId="0" fontId="2" numFmtId="1" xfId="0" applyAlignment="1" applyBorder="1" applyFont="1" applyNumberFormat="1">
      <alignment horizontal="center" shrinkToFit="0" vertical="center" wrapText="1"/>
    </xf>
    <xf borderId="6" fillId="0" fontId="2" numFmtId="0" xfId="0" applyAlignment="1" applyBorder="1" applyFont="1">
      <alignment horizontal="center" readingOrder="0" vertical="center"/>
    </xf>
    <xf borderId="6" fillId="0" fontId="1" numFmtId="9" xfId="0" applyAlignment="1" applyBorder="1" applyFont="1" applyNumberFormat="1">
      <alignment horizontal="center" vertical="center"/>
    </xf>
    <xf borderId="6" fillId="0" fontId="2" numFmtId="0" xfId="0" applyAlignment="1" applyBorder="1" applyFont="1">
      <alignment horizontal="center" shrinkToFit="0" vertical="center" wrapText="1"/>
    </xf>
    <xf borderId="6" fillId="0" fontId="1" numFmtId="3" xfId="0" applyAlignment="1" applyBorder="1" applyFont="1" applyNumberFormat="1">
      <alignment horizontal="center" readingOrder="0" vertical="center"/>
    </xf>
    <xf borderId="6" fillId="0" fontId="1" numFmtId="0" xfId="0" applyAlignment="1" applyBorder="1" applyFont="1">
      <alignment horizontal="center" shrinkToFit="0" vertical="center" wrapText="1"/>
    </xf>
    <xf borderId="6" fillId="0" fontId="3" numFmtId="14" xfId="0" applyAlignment="1" applyBorder="1" applyFont="1" applyNumberFormat="1">
      <alignment horizontal="center" vertical="center"/>
    </xf>
    <xf borderId="6" fillId="0" fontId="2" numFmtId="14" xfId="0" applyAlignment="1" applyBorder="1" applyFont="1" applyNumberFormat="1">
      <alignment horizontal="center" readingOrder="0" vertical="center"/>
    </xf>
    <xf borderId="6" fillId="0" fontId="1" numFmtId="10" xfId="0" applyAlignment="1" applyBorder="1" applyFont="1" applyNumberFormat="1">
      <alignment horizontal="center" vertical="center"/>
    </xf>
    <xf borderId="6" fillId="0" fontId="1" numFmtId="0" xfId="0" applyAlignment="1" applyBorder="1" applyFont="1">
      <alignment horizontal="center" readingOrder="0" shrinkToFit="0" vertical="center" wrapText="1"/>
    </xf>
    <xf borderId="6" fillId="0" fontId="1" numFmtId="9" xfId="0" applyAlignment="1" applyBorder="1" applyFont="1" applyNumberFormat="1">
      <alignment horizontal="center" readingOrder="0" vertical="center"/>
    </xf>
    <xf borderId="6" fillId="0" fontId="2" numFmtId="14" xfId="0" applyAlignment="1" applyBorder="1" applyFont="1" applyNumberFormat="1">
      <alignment horizontal="center" vertical="center"/>
    </xf>
    <xf borderId="6" fillId="0" fontId="1" numFmtId="0" xfId="0" applyAlignment="1" applyBorder="1" applyFont="1">
      <alignment horizontal="center" vertical="center"/>
    </xf>
    <xf borderId="5" fillId="3" fontId="2" numFmtId="0" xfId="0" applyAlignment="1" applyBorder="1" applyFill="1" applyFont="1">
      <alignment horizontal="center" readingOrder="0" vertical="center"/>
    </xf>
    <xf borderId="6" fillId="3" fontId="2" numFmtId="0" xfId="0" applyAlignment="1" applyBorder="1" applyFont="1">
      <alignment horizontal="center" readingOrder="0" shrinkToFit="0" vertical="center" wrapText="1"/>
    </xf>
    <xf borderId="5" fillId="3" fontId="2" numFmtId="0" xfId="0" applyAlignment="1" applyBorder="1" applyFont="1">
      <alignment horizontal="center" shrinkToFit="0" vertical="center" wrapText="1"/>
    </xf>
    <xf borderId="7" fillId="3" fontId="1" numFmtId="0" xfId="0" applyAlignment="1" applyBorder="1" applyFont="1">
      <alignment horizontal="center" readingOrder="0" shrinkToFit="0" vertical="center" wrapText="1"/>
    </xf>
    <xf borderId="6" fillId="0" fontId="2" numFmtId="168" xfId="0" applyAlignment="1" applyBorder="1" applyFont="1" applyNumberFormat="1">
      <alignment horizontal="center" readingOrder="0" shrinkToFit="0" vertical="center" wrapText="1"/>
    </xf>
    <xf borderId="0" fillId="0" fontId="4" numFmtId="0" xfId="0" applyFont="1"/>
    <xf borderId="0" fillId="0" fontId="2" numFmtId="2" xfId="0" applyFont="1" applyNumberFormat="1"/>
    <xf borderId="0" fillId="0" fontId="4" numFmtId="164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ECF5E7"/>
          <bgColor rgb="FFECF5E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4.43" defaultRowHeight="15.0"/>
  <cols>
    <col customWidth="1" min="1" max="1" width="19.57"/>
    <col customWidth="1" min="2" max="2" width="14.57"/>
    <col customWidth="1" min="3" max="3" width="16.71"/>
    <col customWidth="1" min="4" max="4" width="17.43"/>
    <col customWidth="1" min="5" max="5" width="16.86"/>
    <col customWidth="1" min="6" max="6" width="16.0"/>
    <col customWidth="1" min="7" max="7" width="18.14"/>
    <col customWidth="1" min="8" max="8" width="18.57"/>
    <col customWidth="1" min="9" max="9" width="38.43"/>
    <col customWidth="1" min="10" max="10" width="33.43"/>
    <col customWidth="1" min="11" max="11" width="15.71"/>
    <col customWidth="1" min="12" max="12" width="15.29"/>
    <col customWidth="1" min="13" max="13" width="13.71"/>
    <col customWidth="1" min="14" max="14" width="21.14"/>
    <col customWidth="1" min="15" max="15" width="16.43"/>
    <col customWidth="1" min="16" max="16" width="15.43"/>
    <col customWidth="1" min="17" max="17" width="15.29"/>
    <col customWidth="1" min="18" max="18" width="17.57"/>
    <col customWidth="1" min="19" max="19" width="16.43"/>
    <col customWidth="1" min="20" max="20" width="17.14"/>
    <col customWidth="1" min="21" max="21" width="18.71"/>
    <col customWidth="1" min="22" max="22" width="15.0"/>
    <col customWidth="1" min="23" max="23" width="12.57"/>
    <col customWidth="1" min="24" max="24" width="10.86"/>
    <col customWidth="1" min="25" max="25" width="10.57"/>
    <col customWidth="1" min="26" max="26" width="12.14"/>
    <col customWidth="1" min="27" max="27" width="15.43"/>
    <col customWidth="1" min="28" max="28" width="7.0"/>
    <col customWidth="1" min="29" max="29" width="15.29"/>
    <col customWidth="1" min="30" max="30" width="16.43"/>
    <col customWidth="1" min="31" max="31" width="15.86"/>
    <col customWidth="1" min="32" max="32" width="16.86"/>
    <col customWidth="1" min="33" max="33" width="14.71"/>
    <col customWidth="1" min="34" max="34" width="20.0"/>
    <col customWidth="1" min="35" max="35" width="72.71"/>
    <col customWidth="1" min="36" max="36" width="20.43"/>
    <col customWidth="1" min="37" max="37" width="24.43"/>
    <col customWidth="1" min="38" max="39" width="21.0"/>
    <col customWidth="1" min="40" max="40" width="19.71"/>
    <col customWidth="1" min="41" max="41" width="32.14"/>
    <col customWidth="1" min="42" max="42" width="22.14"/>
    <col customWidth="1" min="43" max="43" width="14.71"/>
    <col customWidth="1" min="44" max="44" width="12.14"/>
    <col customWidth="1" min="45" max="45" width="22.86"/>
    <col customWidth="1" min="46" max="46" width="22.71"/>
    <col customWidth="1" min="47" max="47" width="14.57"/>
  </cols>
  <sheetData>
    <row r="1" ht="8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3" t="s">
        <v>28</v>
      </c>
      <c r="AD1" s="3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6" t="s">
        <v>35</v>
      </c>
      <c r="AK1" s="7" t="s">
        <v>36</v>
      </c>
      <c r="AL1" s="8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10" t="s">
        <v>44</v>
      </c>
      <c r="AT1" s="10" t="s">
        <v>45</v>
      </c>
      <c r="AU1" s="10"/>
    </row>
    <row r="2" ht="132.0" customHeight="1">
      <c r="A2" s="11">
        <v>2022.0</v>
      </c>
      <c r="B2" s="12" t="s">
        <v>46</v>
      </c>
      <c r="C2" s="13" t="s">
        <v>47</v>
      </c>
      <c r="D2" s="13" t="s">
        <v>48</v>
      </c>
      <c r="E2" s="14">
        <v>4.600014884E9</v>
      </c>
      <c r="F2" s="13" t="s">
        <v>49</v>
      </c>
      <c r="G2" s="15" t="str">
        <f t="shared" ref="G2:G3" si="1">F2</f>
        <v>NECOCLÍ</v>
      </c>
      <c r="H2" s="15" t="s">
        <v>50</v>
      </c>
      <c r="I2" s="15" t="s">
        <v>51</v>
      </c>
      <c r="J2" s="15" t="s">
        <v>52</v>
      </c>
      <c r="K2" s="16">
        <v>7.0</v>
      </c>
      <c r="L2" s="17">
        <v>100.0</v>
      </c>
      <c r="M2" s="18">
        <v>0.0</v>
      </c>
      <c r="N2" s="19">
        <v>2.5E9</v>
      </c>
      <c r="O2" s="20">
        <v>3.12518659E8</v>
      </c>
      <c r="P2" s="21">
        <f t="shared" ref="P2:P148" si="2">+SUM(N2+O2)</f>
        <v>2812518659</v>
      </c>
      <c r="Q2" s="22">
        <v>0.0</v>
      </c>
      <c r="R2" s="22">
        <v>0.0</v>
      </c>
      <c r="S2" s="23">
        <f t="shared" ref="S2:S148" si="3">+SUM(P2:R2)</f>
        <v>2812518659</v>
      </c>
      <c r="T2" s="24" t="s">
        <v>53</v>
      </c>
      <c r="U2" s="24" t="s">
        <v>53</v>
      </c>
      <c r="V2" s="25">
        <v>43441.0</v>
      </c>
      <c r="W2" s="26">
        <v>44923.0</v>
      </c>
      <c r="X2" s="26">
        <v>45227.0</v>
      </c>
      <c r="Y2" s="27">
        <v>0.0</v>
      </c>
      <c r="Z2" s="27">
        <v>0.0</v>
      </c>
      <c r="AA2" s="26">
        <v>45453.0</v>
      </c>
      <c r="AB2" s="27">
        <f t="shared" ref="AB2:AB148" si="4">AA2 - TODAY()</f>
        <v>-729</v>
      </c>
      <c r="AC2" s="28">
        <v>100.0</v>
      </c>
      <c r="AD2" s="18">
        <v>0.0</v>
      </c>
      <c r="AE2" s="20">
        <v>2.5E9</v>
      </c>
      <c r="AF2" s="20">
        <v>2.5E9</v>
      </c>
      <c r="AG2" s="29">
        <f t="shared" ref="AG2:AG49" si="5">AC2/L2</f>
        <v>1</v>
      </c>
      <c r="AH2" s="29">
        <f t="shared" ref="AH2:AH34" si="6">AF2/AE2</f>
        <v>1</v>
      </c>
      <c r="AI2" s="15" t="s">
        <v>54</v>
      </c>
      <c r="AJ2" s="30" t="s">
        <v>55</v>
      </c>
      <c r="AK2" s="31"/>
      <c r="AL2" s="30" t="s">
        <v>56</v>
      </c>
      <c r="AM2" s="32" t="s">
        <v>57</v>
      </c>
      <c r="AN2" s="32" t="s">
        <v>57</v>
      </c>
      <c r="AO2" s="33"/>
      <c r="AP2" s="34"/>
      <c r="AQ2" s="32" t="s">
        <v>56</v>
      </c>
      <c r="AR2" s="35"/>
      <c r="AS2" s="36"/>
      <c r="AT2" s="36"/>
      <c r="AU2" s="36"/>
    </row>
    <row r="3" ht="132.0" customHeight="1">
      <c r="A3" s="11">
        <v>2023.0</v>
      </c>
      <c r="B3" s="12" t="s">
        <v>46</v>
      </c>
      <c r="C3" s="13" t="s">
        <v>47</v>
      </c>
      <c r="D3" s="13" t="s">
        <v>48</v>
      </c>
      <c r="E3" s="14">
        <v>4.600015738E9</v>
      </c>
      <c r="F3" s="13" t="s">
        <v>58</v>
      </c>
      <c r="G3" s="15" t="str">
        <f t="shared" si="1"/>
        <v>VIGÍA DEL FUERTE</v>
      </c>
      <c r="H3" s="15" t="s">
        <v>50</v>
      </c>
      <c r="I3" s="15" t="s">
        <v>59</v>
      </c>
      <c r="J3" s="28" t="s">
        <v>60</v>
      </c>
      <c r="K3" s="16">
        <v>7.0</v>
      </c>
      <c r="L3" s="17">
        <v>100.0</v>
      </c>
      <c r="M3" s="18">
        <v>0.0</v>
      </c>
      <c r="N3" s="19">
        <v>2.719651693E9</v>
      </c>
      <c r="O3" s="20">
        <v>1.0E9</v>
      </c>
      <c r="P3" s="21">
        <f t="shared" si="2"/>
        <v>3719651693</v>
      </c>
      <c r="Q3" s="20">
        <v>6.19055213E8</v>
      </c>
      <c r="R3" s="22">
        <v>0.0</v>
      </c>
      <c r="S3" s="23">
        <f t="shared" si="3"/>
        <v>4338706906</v>
      </c>
      <c r="T3" s="24" t="s">
        <v>53</v>
      </c>
      <c r="U3" s="24" t="s">
        <v>53</v>
      </c>
      <c r="V3" s="25">
        <v>43441.0</v>
      </c>
      <c r="W3" s="26">
        <v>45105.0</v>
      </c>
      <c r="X3" s="26">
        <v>45319.0</v>
      </c>
      <c r="Y3" s="16">
        <v>5.0</v>
      </c>
      <c r="Z3" s="16">
        <v>3.0</v>
      </c>
      <c r="AA3" s="26">
        <v>45669.0</v>
      </c>
      <c r="AB3" s="27">
        <f t="shared" si="4"/>
        <v>-513</v>
      </c>
      <c r="AC3" s="28">
        <v>95.0</v>
      </c>
      <c r="AD3" s="18">
        <v>0.0</v>
      </c>
      <c r="AE3" s="19">
        <f>2719651693+619055213</f>
        <v>3338706906</v>
      </c>
      <c r="AF3" s="19">
        <v>3.138706906E9</v>
      </c>
      <c r="AG3" s="29">
        <f t="shared" si="5"/>
        <v>0.95</v>
      </c>
      <c r="AH3" s="29">
        <f t="shared" si="6"/>
        <v>0.9400965686</v>
      </c>
      <c r="AI3" s="15" t="s">
        <v>61</v>
      </c>
      <c r="AJ3" s="30" t="s">
        <v>55</v>
      </c>
      <c r="AK3" s="31"/>
      <c r="AL3" s="30" t="s">
        <v>56</v>
      </c>
      <c r="AM3" s="32" t="s">
        <v>57</v>
      </c>
      <c r="AN3" s="32" t="s">
        <v>57</v>
      </c>
      <c r="AO3" s="33"/>
      <c r="AP3" s="34"/>
      <c r="AQ3" s="32" t="s">
        <v>56</v>
      </c>
      <c r="AR3" s="35"/>
      <c r="AS3" s="36"/>
      <c r="AT3" s="36"/>
      <c r="AU3" s="36"/>
    </row>
    <row r="4" ht="132.0" customHeight="1">
      <c r="A4" s="28">
        <v>2024.0</v>
      </c>
      <c r="B4" s="15" t="s">
        <v>62</v>
      </c>
      <c r="C4" s="15" t="s">
        <v>63</v>
      </c>
      <c r="D4" s="15" t="s">
        <v>64</v>
      </c>
      <c r="E4" s="37" t="s">
        <v>65</v>
      </c>
      <c r="F4" s="15" t="s">
        <v>66</v>
      </c>
      <c r="G4" s="15" t="s">
        <v>66</v>
      </c>
      <c r="H4" s="15" t="s">
        <v>67</v>
      </c>
      <c r="I4" s="15" t="s">
        <v>68</v>
      </c>
      <c r="J4" s="15" t="s">
        <v>69</v>
      </c>
      <c r="K4" s="16">
        <v>6.0</v>
      </c>
      <c r="L4" s="17">
        <v>1000.0</v>
      </c>
      <c r="M4" s="18"/>
      <c r="N4" s="19">
        <v>3.5E8</v>
      </c>
      <c r="O4" s="20">
        <v>4.63793974E8</v>
      </c>
      <c r="P4" s="21">
        <f t="shared" si="2"/>
        <v>813793974</v>
      </c>
      <c r="Q4" s="22">
        <v>0.0</v>
      </c>
      <c r="R4" s="22">
        <v>0.0</v>
      </c>
      <c r="S4" s="23">
        <f t="shared" si="3"/>
        <v>813793974</v>
      </c>
      <c r="T4" s="24" t="s">
        <v>70</v>
      </c>
      <c r="U4" s="24" t="s">
        <v>70</v>
      </c>
      <c r="V4" s="25">
        <v>43441.0</v>
      </c>
      <c r="W4" s="26">
        <v>45694.0</v>
      </c>
      <c r="X4" s="26">
        <v>45875.0</v>
      </c>
      <c r="Y4" s="16">
        <v>3.0</v>
      </c>
      <c r="Z4" s="27">
        <v>0.0</v>
      </c>
      <c r="AA4" s="26">
        <v>46233.0</v>
      </c>
      <c r="AB4" s="27">
        <f t="shared" si="4"/>
        <v>51</v>
      </c>
      <c r="AC4" s="28">
        <v>300.0</v>
      </c>
      <c r="AD4" s="18">
        <v>0.0</v>
      </c>
      <c r="AE4" s="20">
        <v>3.5E8</v>
      </c>
      <c r="AF4" s="20">
        <v>1.155E8</v>
      </c>
      <c r="AG4" s="29">
        <f t="shared" si="5"/>
        <v>0.3</v>
      </c>
      <c r="AH4" s="29">
        <f t="shared" si="6"/>
        <v>0.33</v>
      </c>
      <c r="AI4" s="15" t="s">
        <v>71</v>
      </c>
      <c r="AJ4" s="38"/>
      <c r="AK4" s="31"/>
      <c r="AL4" s="38"/>
      <c r="AM4" s="39"/>
      <c r="AN4" s="39"/>
      <c r="AO4" s="39"/>
      <c r="AP4" s="34"/>
      <c r="AQ4" s="39"/>
      <c r="AR4" s="38"/>
      <c r="AS4" s="36"/>
      <c r="AT4" s="36"/>
      <c r="AU4" s="36"/>
    </row>
    <row r="5" ht="110.25" customHeight="1">
      <c r="A5" s="18">
        <v>2024.0</v>
      </c>
      <c r="B5" s="15" t="s">
        <v>62</v>
      </c>
      <c r="C5" s="40" t="s">
        <v>63</v>
      </c>
      <c r="D5" s="40" t="s">
        <v>64</v>
      </c>
      <c r="E5" s="37" t="s">
        <v>72</v>
      </c>
      <c r="F5" s="15" t="s">
        <v>73</v>
      </c>
      <c r="G5" s="15" t="s">
        <v>73</v>
      </c>
      <c r="H5" s="15" t="s">
        <v>74</v>
      </c>
      <c r="I5" s="15" t="s">
        <v>75</v>
      </c>
      <c r="J5" s="15" t="s">
        <v>76</v>
      </c>
      <c r="K5" s="15">
        <v>8.0</v>
      </c>
      <c r="L5" s="17">
        <v>1000.0</v>
      </c>
      <c r="M5" s="18">
        <v>0.0</v>
      </c>
      <c r="N5" s="41">
        <v>3.5E8</v>
      </c>
      <c r="O5" s="42">
        <v>8.0E8</v>
      </c>
      <c r="P5" s="21">
        <f t="shared" si="2"/>
        <v>1150000000</v>
      </c>
      <c r="Q5" s="22">
        <v>0.0</v>
      </c>
      <c r="R5" s="22">
        <v>0.0</v>
      </c>
      <c r="S5" s="23">
        <f t="shared" si="3"/>
        <v>1150000000</v>
      </c>
      <c r="T5" s="43" t="s">
        <v>53</v>
      </c>
      <c r="U5" s="43" t="s">
        <v>53</v>
      </c>
      <c r="V5" s="44">
        <v>44406.0</v>
      </c>
      <c r="W5" s="45">
        <v>45686.0</v>
      </c>
      <c r="X5" s="45">
        <v>45867.0</v>
      </c>
      <c r="Y5" s="16">
        <v>0.0</v>
      </c>
      <c r="Z5" s="27">
        <v>0.0</v>
      </c>
      <c r="AA5" s="45">
        <v>45867.0</v>
      </c>
      <c r="AB5" s="27">
        <f t="shared" si="4"/>
        <v>-315</v>
      </c>
      <c r="AC5" s="17">
        <v>0.0</v>
      </c>
      <c r="AD5" s="18">
        <v>0.0</v>
      </c>
      <c r="AE5" s="46">
        <v>3.5E8</v>
      </c>
      <c r="AF5" s="19">
        <v>0.0</v>
      </c>
      <c r="AG5" s="47">
        <f t="shared" si="5"/>
        <v>0</v>
      </c>
      <c r="AH5" s="47">
        <f t="shared" si="6"/>
        <v>0</v>
      </c>
      <c r="AI5" s="15" t="s">
        <v>77</v>
      </c>
      <c r="AJ5" s="38"/>
      <c r="AK5" s="31"/>
      <c r="AL5" s="38"/>
      <c r="AM5" s="39"/>
      <c r="AN5" s="39"/>
      <c r="AO5" s="39"/>
      <c r="AP5" s="34"/>
      <c r="AQ5" s="39"/>
      <c r="AR5" s="35"/>
      <c r="AT5" s="36"/>
      <c r="AU5" s="36"/>
    </row>
    <row r="6" ht="110.25" customHeight="1">
      <c r="A6" s="28">
        <v>2024.0</v>
      </c>
      <c r="B6" s="15" t="s">
        <v>78</v>
      </c>
      <c r="C6" s="40" t="s">
        <v>63</v>
      </c>
      <c r="D6" s="40" t="s">
        <v>64</v>
      </c>
      <c r="E6" s="37" t="s">
        <v>79</v>
      </c>
      <c r="F6" s="15" t="s">
        <v>80</v>
      </c>
      <c r="G6" s="15" t="s">
        <v>80</v>
      </c>
      <c r="H6" s="15" t="s">
        <v>81</v>
      </c>
      <c r="I6" s="15" t="s">
        <v>82</v>
      </c>
      <c r="J6" s="15" t="s">
        <v>83</v>
      </c>
      <c r="K6" s="15">
        <v>4.0</v>
      </c>
      <c r="L6" s="17">
        <v>1000.0</v>
      </c>
      <c r="M6" s="18">
        <v>0.0</v>
      </c>
      <c r="N6" s="42">
        <v>3.5E8</v>
      </c>
      <c r="O6" s="42">
        <v>6.72054008E8</v>
      </c>
      <c r="P6" s="21">
        <f t="shared" si="2"/>
        <v>1022054008</v>
      </c>
      <c r="Q6" s="22">
        <v>0.0</v>
      </c>
      <c r="R6" s="22">
        <v>0.0</v>
      </c>
      <c r="S6" s="23">
        <f t="shared" si="3"/>
        <v>1022054008</v>
      </c>
      <c r="T6" s="48" t="s">
        <v>53</v>
      </c>
      <c r="U6" s="48" t="s">
        <v>53</v>
      </c>
      <c r="V6" s="44">
        <v>44406.0</v>
      </c>
      <c r="W6" s="45">
        <v>45699.0</v>
      </c>
      <c r="X6" s="45">
        <v>45819.0</v>
      </c>
      <c r="Y6" s="16">
        <v>0.0</v>
      </c>
      <c r="Z6" s="27">
        <v>0.0</v>
      </c>
      <c r="AA6" s="45">
        <v>45819.0</v>
      </c>
      <c r="AB6" s="27">
        <f t="shared" si="4"/>
        <v>-363</v>
      </c>
      <c r="AC6" s="17">
        <v>1000.0</v>
      </c>
      <c r="AD6" s="18">
        <v>0.0</v>
      </c>
      <c r="AE6" s="19">
        <v>3.5E8</v>
      </c>
      <c r="AF6" s="19">
        <v>3.5E8</v>
      </c>
      <c r="AG6" s="47">
        <f t="shared" si="5"/>
        <v>1</v>
      </c>
      <c r="AH6" s="47">
        <f t="shared" si="6"/>
        <v>1</v>
      </c>
      <c r="AI6" s="15" t="s">
        <v>84</v>
      </c>
      <c r="AJ6" s="38"/>
      <c r="AK6" s="31"/>
      <c r="AL6" s="38"/>
      <c r="AM6" s="39"/>
      <c r="AN6" s="39"/>
      <c r="AO6" s="39"/>
      <c r="AP6" s="34"/>
      <c r="AQ6" s="39"/>
      <c r="AR6" s="49"/>
      <c r="AS6" s="50"/>
      <c r="AT6" s="36"/>
      <c r="AU6" s="36"/>
    </row>
    <row r="7" ht="110.25" customHeight="1">
      <c r="A7" s="28">
        <v>2024.0</v>
      </c>
      <c r="B7" s="15" t="s">
        <v>78</v>
      </c>
      <c r="C7" s="40" t="s">
        <v>63</v>
      </c>
      <c r="D7" s="40" t="s">
        <v>64</v>
      </c>
      <c r="E7" s="37" t="s">
        <v>85</v>
      </c>
      <c r="F7" s="15" t="s">
        <v>86</v>
      </c>
      <c r="G7" s="15" t="s">
        <v>86</v>
      </c>
      <c r="H7" s="15" t="s">
        <v>81</v>
      </c>
      <c r="I7" s="15" t="s">
        <v>87</v>
      </c>
      <c r="J7" s="15" t="s">
        <v>88</v>
      </c>
      <c r="K7" s="15">
        <v>7.0</v>
      </c>
      <c r="L7" s="17">
        <v>1000.0</v>
      </c>
      <c r="M7" s="18">
        <v>0.0</v>
      </c>
      <c r="N7" s="42">
        <v>3.5E8</v>
      </c>
      <c r="O7" s="42">
        <v>7.509281E8</v>
      </c>
      <c r="P7" s="21">
        <f t="shared" si="2"/>
        <v>1100928100</v>
      </c>
      <c r="Q7" s="22">
        <v>0.0</v>
      </c>
      <c r="R7" s="22">
        <v>0.0</v>
      </c>
      <c r="S7" s="23">
        <f t="shared" si="3"/>
        <v>1100928100</v>
      </c>
      <c r="T7" s="48" t="s">
        <v>53</v>
      </c>
      <c r="U7" s="48" t="s">
        <v>53</v>
      </c>
      <c r="V7" s="44">
        <v>44406.0</v>
      </c>
      <c r="W7" s="45">
        <v>45679.0</v>
      </c>
      <c r="X7" s="45">
        <v>45891.0</v>
      </c>
      <c r="Y7" s="16">
        <v>0.0</v>
      </c>
      <c r="Z7" s="27">
        <v>0.0</v>
      </c>
      <c r="AA7" s="45">
        <v>45891.0</v>
      </c>
      <c r="AB7" s="27">
        <f t="shared" si="4"/>
        <v>-291</v>
      </c>
      <c r="AC7" s="17">
        <v>1000.0</v>
      </c>
      <c r="AD7" s="18">
        <v>0.0</v>
      </c>
      <c r="AE7" s="19">
        <v>3.5E8</v>
      </c>
      <c r="AF7" s="19">
        <v>3.5E8</v>
      </c>
      <c r="AG7" s="47">
        <f t="shared" si="5"/>
        <v>1</v>
      </c>
      <c r="AH7" s="47">
        <f t="shared" si="6"/>
        <v>1</v>
      </c>
      <c r="AI7" s="15" t="s">
        <v>89</v>
      </c>
      <c r="AJ7" s="38"/>
      <c r="AK7" s="31"/>
      <c r="AL7" s="38"/>
      <c r="AM7" s="39"/>
      <c r="AN7" s="39"/>
      <c r="AO7" s="39"/>
      <c r="AP7" s="51"/>
      <c r="AQ7" s="39"/>
      <c r="AR7" s="49"/>
      <c r="AS7" s="50"/>
      <c r="AT7" s="52" t="s">
        <v>90</v>
      </c>
      <c r="AU7" s="36"/>
    </row>
    <row r="8" ht="110.25" customHeight="1">
      <c r="A8" s="28">
        <v>2024.0</v>
      </c>
      <c r="B8" s="15" t="s">
        <v>78</v>
      </c>
      <c r="C8" s="40" t="s">
        <v>63</v>
      </c>
      <c r="D8" s="40" t="s">
        <v>64</v>
      </c>
      <c r="E8" s="37" t="s">
        <v>91</v>
      </c>
      <c r="F8" s="15" t="s">
        <v>92</v>
      </c>
      <c r="G8" s="15" t="s">
        <v>92</v>
      </c>
      <c r="H8" s="15" t="s">
        <v>93</v>
      </c>
      <c r="I8" s="15" t="s">
        <v>94</v>
      </c>
      <c r="J8" s="15" t="s">
        <v>95</v>
      </c>
      <c r="K8" s="15">
        <v>6.0</v>
      </c>
      <c r="L8" s="17">
        <v>1000.0</v>
      </c>
      <c r="M8" s="18">
        <v>0.0</v>
      </c>
      <c r="N8" s="42">
        <v>3.5E8</v>
      </c>
      <c r="O8" s="42">
        <v>6.3E8</v>
      </c>
      <c r="P8" s="21">
        <f t="shared" si="2"/>
        <v>980000000</v>
      </c>
      <c r="Q8" s="22">
        <v>0.0</v>
      </c>
      <c r="R8" s="22">
        <v>0.0</v>
      </c>
      <c r="S8" s="23">
        <f t="shared" si="3"/>
        <v>980000000</v>
      </c>
      <c r="T8" s="48" t="s">
        <v>53</v>
      </c>
      <c r="U8" s="48" t="s">
        <v>53</v>
      </c>
      <c r="V8" s="44">
        <v>44406.0</v>
      </c>
      <c r="W8" s="45">
        <v>45726.0</v>
      </c>
      <c r="X8" s="45">
        <v>45910.0</v>
      </c>
      <c r="Y8" s="16">
        <v>0.0</v>
      </c>
      <c r="Z8" s="27">
        <v>0.0</v>
      </c>
      <c r="AA8" s="45">
        <v>45910.0</v>
      </c>
      <c r="AB8" s="27">
        <f t="shared" si="4"/>
        <v>-272</v>
      </c>
      <c r="AC8" s="17">
        <v>1000.0</v>
      </c>
      <c r="AD8" s="18">
        <v>0.0</v>
      </c>
      <c r="AE8" s="19">
        <v>3.5E8</v>
      </c>
      <c r="AF8" s="19">
        <v>3.5E8</v>
      </c>
      <c r="AG8" s="47">
        <f t="shared" si="5"/>
        <v>1</v>
      </c>
      <c r="AH8" s="47">
        <f t="shared" si="6"/>
        <v>1</v>
      </c>
      <c r="AI8" s="15" t="s">
        <v>96</v>
      </c>
      <c r="AJ8" s="38"/>
      <c r="AK8" s="31"/>
      <c r="AL8" s="38"/>
      <c r="AM8" s="39"/>
      <c r="AN8" s="39"/>
      <c r="AO8" s="39"/>
      <c r="AP8" s="34"/>
      <c r="AQ8" s="39"/>
      <c r="AR8" s="35"/>
      <c r="AS8" s="50"/>
      <c r="AT8" s="36"/>
      <c r="AU8" s="36"/>
    </row>
    <row r="9" ht="110.25" customHeight="1">
      <c r="A9" s="18">
        <v>2024.0</v>
      </c>
      <c r="B9" s="15" t="s">
        <v>78</v>
      </c>
      <c r="C9" s="40" t="s">
        <v>63</v>
      </c>
      <c r="D9" s="40" t="s">
        <v>64</v>
      </c>
      <c r="E9" s="37" t="s">
        <v>97</v>
      </c>
      <c r="F9" s="15" t="s">
        <v>98</v>
      </c>
      <c r="G9" s="15" t="s">
        <v>98</v>
      </c>
      <c r="H9" s="15" t="s">
        <v>93</v>
      </c>
      <c r="I9" s="15" t="s">
        <v>99</v>
      </c>
      <c r="J9" s="15" t="s">
        <v>100</v>
      </c>
      <c r="K9" s="15">
        <v>6.0</v>
      </c>
      <c r="L9" s="53">
        <v>1000.0</v>
      </c>
      <c r="M9" s="18">
        <v>0.0</v>
      </c>
      <c r="N9" s="41">
        <v>3.5E8</v>
      </c>
      <c r="O9" s="42">
        <v>2.7150913016E8</v>
      </c>
      <c r="P9" s="21">
        <f t="shared" si="2"/>
        <v>621509130.2</v>
      </c>
      <c r="Q9" s="22">
        <v>0.0</v>
      </c>
      <c r="R9" s="22">
        <v>0.0</v>
      </c>
      <c r="S9" s="23">
        <f t="shared" si="3"/>
        <v>621509130.2</v>
      </c>
      <c r="T9" s="48" t="s">
        <v>53</v>
      </c>
      <c r="U9" s="48" t="s">
        <v>53</v>
      </c>
      <c r="V9" s="44">
        <v>44406.0</v>
      </c>
      <c r="W9" s="45">
        <v>45699.0</v>
      </c>
      <c r="X9" s="45">
        <v>45880.0</v>
      </c>
      <c r="Y9" s="16">
        <v>0.0</v>
      </c>
      <c r="Z9" s="27">
        <v>0.0</v>
      </c>
      <c r="AA9" s="45">
        <v>45880.0</v>
      </c>
      <c r="AB9" s="27">
        <f t="shared" si="4"/>
        <v>-302</v>
      </c>
      <c r="AC9" s="17">
        <v>850.0</v>
      </c>
      <c r="AD9" s="18">
        <v>0.0</v>
      </c>
      <c r="AE9" s="46">
        <v>3.5E8</v>
      </c>
      <c r="AF9" s="46">
        <v>3.5E8</v>
      </c>
      <c r="AG9" s="47">
        <f t="shared" si="5"/>
        <v>0.85</v>
      </c>
      <c r="AH9" s="47">
        <f t="shared" si="6"/>
        <v>1</v>
      </c>
      <c r="AI9" s="15" t="s">
        <v>101</v>
      </c>
      <c r="AJ9" s="38"/>
      <c r="AK9" s="31"/>
      <c r="AL9" s="38"/>
      <c r="AM9" s="39"/>
      <c r="AN9" s="39"/>
      <c r="AO9" s="39"/>
      <c r="AP9" s="54"/>
      <c r="AQ9" s="39"/>
      <c r="AR9" s="38"/>
      <c r="AT9" s="36"/>
      <c r="AU9" s="36"/>
    </row>
    <row r="10" ht="110.25" customHeight="1">
      <c r="A10" s="18">
        <v>2024.0</v>
      </c>
      <c r="B10" s="15" t="s">
        <v>78</v>
      </c>
      <c r="C10" s="40" t="s">
        <v>63</v>
      </c>
      <c r="D10" s="40" t="s">
        <v>64</v>
      </c>
      <c r="E10" s="37" t="s">
        <v>102</v>
      </c>
      <c r="F10" s="15" t="s">
        <v>103</v>
      </c>
      <c r="G10" s="15" t="s">
        <v>103</v>
      </c>
      <c r="H10" s="15" t="s">
        <v>93</v>
      </c>
      <c r="I10" s="15" t="s">
        <v>104</v>
      </c>
      <c r="J10" s="15" t="s">
        <v>105</v>
      </c>
      <c r="K10" s="15">
        <v>8.0</v>
      </c>
      <c r="L10" s="17">
        <v>2000.0</v>
      </c>
      <c r="M10" s="18">
        <v>0.0</v>
      </c>
      <c r="N10" s="42">
        <v>7.0E8</v>
      </c>
      <c r="O10" s="42">
        <v>2.7150913016E8</v>
      </c>
      <c r="P10" s="21">
        <f t="shared" si="2"/>
        <v>971509130.2</v>
      </c>
      <c r="Q10" s="22">
        <v>0.0</v>
      </c>
      <c r="R10" s="22">
        <v>0.0</v>
      </c>
      <c r="S10" s="23">
        <f t="shared" si="3"/>
        <v>971509130.2</v>
      </c>
      <c r="T10" s="48" t="s">
        <v>53</v>
      </c>
      <c r="U10" s="48" t="s">
        <v>53</v>
      </c>
      <c r="V10" s="44">
        <v>44406.0</v>
      </c>
      <c r="W10" s="45">
        <v>45686.0</v>
      </c>
      <c r="X10" s="45">
        <v>45929.0</v>
      </c>
      <c r="Y10" s="16">
        <v>3.0</v>
      </c>
      <c r="Z10" s="27">
        <v>0.0</v>
      </c>
      <c r="AA10" s="45">
        <v>46020.0</v>
      </c>
      <c r="AB10" s="27">
        <f t="shared" si="4"/>
        <v>-162</v>
      </c>
      <c r="AC10" s="17">
        <v>1400.0</v>
      </c>
      <c r="AD10" s="18">
        <v>0.0</v>
      </c>
      <c r="AE10" s="19">
        <v>7.0E8</v>
      </c>
      <c r="AF10" s="19">
        <v>7.0E8</v>
      </c>
      <c r="AG10" s="47">
        <f t="shared" si="5"/>
        <v>0.7</v>
      </c>
      <c r="AH10" s="47">
        <f t="shared" si="6"/>
        <v>1</v>
      </c>
      <c r="AI10" s="15" t="s">
        <v>106</v>
      </c>
      <c r="AJ10" s="38"/>
      <c r="AK10" s="31"/>
      <c r="AL10" s="38"/>
      <c r="AM10" s="39"/>
      <c r="AN10" s="39"/>
      <c r="AO10" s="39"/>
      <c r="AP10" s="34"/>
      <c r="AQ10" s="39"/>
      <c r="AR10" s="49"/>
      <c r="AT10" s="36"/>
      <c r="AU10" s="36"/>
    </row>
    <row r="11" ht="110.25" customHeight="1">
      <c r="A11" s="28">
        <v>2024.0</v>
      </c>
      <c r="B11" s="15" t="s">
        <v>78</v>
      </c>
      <c r="C11" s="15" t="s">
        <v>107</v>
      </c>
      <c r="D11" s="40" t="s">
        <v>48</v>
      </c>
      <c r="E11" s="37">
        <v>4.600017797E9</v>
      </c>
      <c r="F11" s="15" t="s">
        <v>108</v>
      </c>
      <c r="G11" s="15" t="s">
        <v>108</v>
      </c>
      <c r="H11" s="15" t="s">
        <v>109</v>
      </c>
      <c r="I11" s="15" t="s">
        <v>110</v>
      </c>
      <c r="J11" s="15" t="s">
        <v>111</v>
      </c>
      <c r="K11" s="15">
        <v>8.0</v>
      </c>
      <c r="L11" s="17">
        <v>875.0</v>
      </c>
      <c r="M11" s="18">
        <v>0.0</v>
      </c>
      <c r="N11" s="42">
        <v>2.421407483E9</v>
      </c>
      <c r="O11" s="42">
        <v>5.0E8</v>
      </c>
      <c r="P11" s="21">
        <f t="shared" si="2"/>
        <v>2921407483</v>
      </c>
      <c r="Q11" s="22">
        <v>0.0</v>
      </c>
      <c r="R11" s="22">
        <v>0.0</v>
      </c>
      <c r="S11" s="23">
        <f t="shared" si="3"/>
        <v>2921407483</v>
      </c>
      <c r="T11" s="48" t="s">
        <v>53</v>
      </c>
      <c r="U11" s="48" t="s">
        <v>53</v>
      </c>
      <c r="V11" s="44">
        <v>44406.0</v>
      </c>
      <c r="W11" s="45">
        <v>45653.0</v>
      </c>
      <c r="X11" s="45">
        <v>45896.0</v>
      </c>
      <c r="Y11" s="27">
        <v>0.0</v>
      </c>
      <c r="Z11" s="27">
        <v>0.0</v>
      </c>
      <c r="AA11" s="45">
        <v>45896.0</v>
      </c>
      <c r="AB11" s="27">
        <f t="shared" si="4"/>
        <v>-286</v>
      </c>
      <c r="AC11" s="17">
        <v>875.0</v>
      </c>
      <c r="AD11" s="18">
        <v>0.0</v>
      </c>
      <c r="AE11" s="19">
        <v>2.421407483E9</v>
      </c>
      <c r="AF11" s="19">
        <v>2.421407483E9</v>
      </c>
      <c r="AG11" s="47">
        <f t="shared" si="5"/>
        <v>1</v>
      </c>
      <c r="AH11" s="47">
        <f t="shared" si="6"/>
        <v>1</v>
      </c>
      <c r="AI11" s="15" t="s">
        <v>112</v>
      </c>
      <c r="AJ11" s="38"/>
      <c r="AK11" s="31"/>
      <c r="AL11" s="38"/>
      <c r="AM11" s="39"/>
      <c r="AN11" s="39"/>
      <c r="AO11" s="39"/>
      <c r="AP11" s="55"/>
      <c r="AQ11" s="39"/>
      <c r="AR11" s="39"/>
      <c r="AT11" s="52" t="s">
        <v>90</v>
      </c>
      <c r="AU11" s="36"/>
    </row>
    <row r="12" ht="110.25" customHeight="1">
      <c r="A12" s="28">
        <v>2024.0</v>
      </c>
      <c r="B12" s="15" t="s">
        <v>113</v>
      </c>
      <c r="C12" s="15" t="s">
        <v>63</v>
      </c>
      <c r="D12" s="15" t="s">
        <v>64</v>
      </c>
      <c r="E12" s="37" t="s">
        <v>114</v>
      </c>
      <c r="F12" s="15" t="s">
        <v>115</v>
      </c>
      <c r="G12" s="15" t="s">
        <v>115</v>
      </c>
      <c r="H12" s="15" t="s">
        <v>116</v>
      </c>
      <c r="I12" s="15" t="s">
        <v>117</v>
      </c>
      <c r="J12" s="15" t="s">
        <v>69</v>
      </c>
      <c r="K12" s="16">
        <v>6.0</v>
      </c>
      <c r="L12" s="17">
        <v>1000.0</v>
      </c>
      <c r="M12" s="18"/>
      <c r="N12" s="42">
        <v>3.5E8</v>
      </c>
      <c r="O12" s="56">
        <v>3.94188839E8</v>
      </c>
      <c r="P12" s="21">
        <f t="shared" si="2"/>
        <v>744188839</v>
      </c>
      <c r="Q12" s="22">
        <v>0.0</v>
      </c>
      <c r="R12" s="22">
        <v>0.0</v>
      </c>
      <c r="S12" s="23">
        <f t="shared" si="3"/>
        <v>744188839</v>
      </c>
      <c r="T12" s="24" t="s">
        <v>53</v>
      </c>
      <c r="U12" s="24" t="s">
        <v>53</v>
      </c>
      <c r="V12" s="25">
        <v>43441.0</v>
      </c>
      <c r="W12" s="26">
        <v>45691.0</v>
      </c>
      <c r="X12" s="26">
        <v>45872.0</v>
      </c>
      <c r="Y12" s="16">
        <v>3.0</v>
      </c>
      <c r="Z12" s="27">
        <v>0.0</v>
      </c>
      <c r="AA12" s="26">
        <v>45964.0</v>
      </c>
      <c r="AB12" s="27">
        <f t="shared" si="4"/>
        <v>-218</v>
      </c>
      <c r="AC12" s="28">
        <v>900.0</v>
      </c>
      <c r="AD12" s="18">
        <v>0.0</v>
      </c>
      <c r="AE12" s="20">
        <v>3.5E8</v>
      </c>
      <c r="AF12" s="20">
        <v>3.5E8</v>
      </c>
      <c r="AG12" s="29">
        <f t="shared" si="5"/>
        <v>0.9</v>
      </c>
      <c r="AH12" s="29">
        <f t="shared" si="6"/>
        <v>1</v>
      </c>
      <c r="AI12" s="15" t="s">
        <v>118</v>
      </c>
      <c r="AJ12" s="38"/>
      <c r="AK12" s="31"/>
      <c r="AL12" s="38"/>
      <c r="AM12" s="39"/>
      <c r="AN12" s="39"/>
      <c r="AO12" s="39"/>
      <c r="AP12" s="34"/>
      <c r="AQ12" s="39"/>
      <c r="AR12" s="35"/>
      <c r="AS12" s="36"/>
      <c r="AT12" s="52" t="s">
        <v>90</v>
      </c>
      <c r="AU12" s="36"/>
    </row>
    <row r="13" ht="110.25" customHeight="1">
      <c r="A13" s="18">
        <v>2024.0</v>
      </c>
      <c r="B13" s="15" t="s">
        <v>113</v>
      </c>
      <c r="C13" s="40" t="s">
        <v>63</v>
      </c>
      <c r="D13" s="40" t="s">
        <v>64</v>
      </c>
      <c r="E13" s="37" t="s">
        <v>119</v>
      </c>
      <c r="F13" s="15" t="s">
        <v>120</v>
      </c>
      <c r="G13" s="15" t="s">
        <v>120</v>
      </c>
      <c r="H13" s="15" t="s">
        <v>116</v>
      </c>
      <c r="I13" s="15" t="s">
        <v>121</v>
      </c>
      <c r="J13" s="15" t="s">
        <v>122</v>
      </c>
      <c r="K13" s="15">
        <v>8.0</v>
      </c>
      <c r="L13" s="17">
        <v>1000.0</v>
      </c>
      <c r="M13" s="18">
        <v>0.0</v>
      </c>
      <c r="N13" s="42">
        <v>3.5E8</v>
      </c>
      <c r="O13" s="42">
        <v>3.637905E8</v>
      </c>
      <c r="P13" s="21">
        <f t="shared" si="2"/>
        <v>713790500</v>
      </c>
      <c r="Q13" s="22">
        <v>0.0</v>
      </c>
      <c r="R13" s="22">
        <v>0.0</v>
      </c>
      <c r="S13" s="23">
        <f t="shared" si="3"/>
        <v>713790500</v>
      </c>
      <c r="T13" s="48" t="s">
        <v>53</v>
      </c>
      <c r="U13" s="48" t="s">
        <v>53</v>
      </c>
      <c r="V13" s="44">
        <v>44406.0</v>
      </c>
      <c r="W13" s="45">
        <v>45680.0</v>
      </c>
      <c r="X13" s="45">
        <v>45923.0</v>
      </c>
      <c r="Y13" s="16">
        <v>3.0</v>
      </c>
      <c r="Z13" s="27">
        <v>0.0</v>
      </c>
      <c r="AA13" s="45">
        <v>45984.0</v>
      </c>
      <c r="AB13" s="27">
        <f t="shared" si="4"/>
        <v>-198</v>
      </c>
      <c r="AC13" s="17">
        <v>1000.0</v>
      </c>
      <c r="AD13" s="18">
        <v>0.0</v>
      </c>
      <c r="AE13" s="19">
        <v>3.5E8</v>
      </c>
      <c r="AF13" s="19">
        <v>3.5E8</v>
      </c>
      <c r="AG13" s="47">
        <f t="shared" si="5"/>
        <v>1</v>
      </c>
      <c r="AH13" s="47">
        <f t="shared" si="6"/>
        <v>1</v>
      </c>
      <c r="AI13" s="15" t="s">
        <v>123</v>
      </c>
      <c r="AJ13" s="38"/>
      <c r="AK13" s="31"/>
      <c r="AL13" s="38"/>
      <c r="AM13" s="39"/>
      <c r="AN13" s="39"/>
      <c r="AO13" s="39"/>
      <c r="AP13" s="34"/>
      <c r="AQ13" s="39"/>
      <c r="AR13" s="38"/>
      <c r="AS13" s="50"/>
      <c r="AT13" s="36"/>
      <c r="AU13" s="36"/>
    </row>
    <row r="14" ht="110.25" customHeight="1">
      <c r="A14" s="28">
        <v>2024.0</v>
      </c>
      <c r="B14" s="15" t="s">
        <v>113</v>
      </c>
      <c r="C14" s="40" t="s">
        <v>63</v>
      </c>
      <c r="D14" s="40" t="s">
        <v>64</v>
      </c>
      <c r="E14" s="37" t="s">
        <v>124</v>
      </c>
      <c r="F14" s="15" t="s">
        <v>125</v>
      </c>
      <c r="G14" s="15" t="s">
        <v>125</v>
      </c>
      <c r="H14" s="15" t="s">
        <v>116</v>
      </c>
      <c r="I14" s="15" t="s">
        <v>126</v>
      </c>
      <c r="J14" s="15" t="s">
        <v>127</v>
      </c>
      <c r="K14" s="15">
        <v>5.0</v>
      </c>
      <c r="L14" s="17">
        <v>1000.0</v>
      </c>
      <c r="M14" s="18">
        <v>0.0</v>
      </c>
      <c r="N14" s="42">
        <v>3.47515221E8</v>
      </c>
      <c r="O14" s="42">
        <v>6.13537414E8</v>
      </c>
      <c r="P14" s="21">
        <f t="shared" si="2"/>
        <v>961052635</v>
      </c>
      <c r="Q14" s="22">
        <v>0.0</v>
      </c>
      <c r="R14" s="22">
        <v>0.0</v>
      </c>
      <c r="S14" s="23">
        <f t="shared" si="3"/>
        <v>961052635</v>
      </c>
      <c r="T14" s="48" t="s">
        <v>53</v>
      </c>
      <c r="U14" s="48" t="s">
        <v>53</v>
      </c>
      <c r="V14" s="44">
        <v>44406.0</v>
      </c>
      <c r="W14" s="45">
        <v>45497.0</v>
      </c>
      <c r="X14" s="45">
        <v>45656.0</v>
      </c>
      <c r="Y14" s="16">
        <v>0.0</v>
      </c>
      <c r="Z14" s="27">
        <v>0.0</v>
      </c>
      <c r="AA14" s="45">
        <v>45656.0</v>
      </c>
      <c r="AB14" s="27">
        <f t="shared" si="4"/>
        <v>-526</v>
      </c>
      <c r="AC14" s="17">
        <v>1000.0</v>
      </c>
      <c r="AD14" s="18">
        <v>0.0</v>
      </c>
      <c r="AE14" s="19">
        <v>3.47515221E8</v>
      </c>
      <c r="AF14" s="19">
        <v>3.47515221E8</v>
      </c>
      <c r="AG14" s="47">
        <f t="shared" si="5"/>
        <v>1</v>
      </c>
      <c r="AH14" s="47">
        <f t="shared" si="6"/>
        <v>1</v>
      </c>
      <c r="AI14" s="15" t="s">
        <v>128</v>
      </c>
      <c r="AJ14" s="38"/>
      <c r="AK14" s="31"/>
      <c r="AL14" s="38"/>
      <c r="AM14" s="39"/>
      <c r="AN14" s="39"/>
      <c r="AO14" s="39"/>
      <c r="AP14" s="34"/>
      <c r="AQ14" s="39"/>
      <c r="AR14" s="49"/>
      <c r="AS14" s="50"/>
      <c r="AT14" s="36"/>
      <c r="AU14" s="36"/>
    </row>
    <row r="15" ht="110.25" customHeight="1">
      <c r="A15" s="28">
        <v>2024.0</v>
      </c>
      <c r="B15" s="15" t="s">
        <v>113</v>
      </c>
      <c r="C15" s="40" t="s">
        <v>63</v>
      </c>
      <c r="D15" s="40" t="s">
        <v>64</v>
      </c>
      <c r="E15" s="37" t="s">
        <v>129</v>
      </c>
      <c r="F15" s="15" t="s">
        <v>130</v>
      </c>
      <c r="G15" s="15" t="s">
        <v>130</v>
      </c>
      <c r="H15" s="15" t="s">
        <v>116</v>
      </c>
      <c r="I15" s="15" t="s">
        <v>131</v>
      </c>
      <c r="J15" s="15" t="s">
        <v>132</v>
      </c>
      <c r="K15" s="15">
        <v>4.0</v>
      </c>
      <c r="L15" s="17">
        <v>1000.0</v>
      </c>
      <c r="M15" s="18">
        <v>0.0</v>
      </c>
      <c r="N15" s="42">
        <v>3.5E8</v>
      </c>
      <c r="O15" s="42">
        <v>4.80824988E8</v>
      </c>
      <c r="P15" s="21">
        <f t="shared" si="2"/>
        <v>830824988</v>
      </c>
      <c r="Q15" s="22">
        <v>0.0</v>
      </c>
      <c r="R15" s="22">
        <v>0.0</v>
      </c>
      <c r="S15" s="23">
        <f t="shared" si="3"/>
        <v>830824988</v>
      </c>
      <c r="T15" s="48" t="s">
        <v>53</v>
      </c>
      <c r="U15" s="48" t="s">
        <v>53</v>
      </c>
      <c r="V15" s="44">
        <v>44406.0</v>
      </c>
      <c r="W15" s="45">
        <v>45688.0</v>
      </c>
      <c r="X15" s="45">
        <v>45799.0</v>
      </c>
      <c r="Y15" s="16">
        <v>2.0</v>
      </c>
      <c r="Z15" s="27">
        <v>0.0</v>
      </c>
      <c r="AA15" s="45">
        <v>45860.0</v>
      </c>
      <c r="AB15" s="27">
        <f t="shared" si="4"/>
        <v>-322</v>
      </c>
      <c r="AC15" s="17">
        <v>1000.0</v>
      </c>
      <c r="AD15" s="18">
        <v>0.0</v>
      </c>
      <c r="AE15" s="19">
        <v>3.5E8</v>
      </c>
      <c r="AF15" s="19">
        <v>3.5E8</v>
      </c>
      <c r="AG15" s="47">
        <f t="shared" si="5"/>
        <v>1</v>
      </c>
      <c r="AH15" s="47">
        <f t="shared" si="6"/>
        <v>1</v>
      </c>
      <c r="AI15" s="15" t="s">
        <v>133</v>
      </c>
      <c r="AJ15" s="38"/>
      <c r="AK15" s="31"/>
      <c r="AL15" s="38"/>
      <c r="AM15" s="39"/>
      <c r="AN15" s="39"/>
      <c r="AO15" s="39"/>
      <c r="AP15" s="51"/>
      <c r="AQ15" s="39"/>
      <c r="AR15" s="49"/>
      <c r="AS15" s="50"/>
      <c r="AT15" s="36"/>
      <c r="AU15" s="36"/>
    </row>
    <row r="16" ht="110.25" customHeight="1">
      <c r="A16" s="28">
        <v>2024.0</v>
      </c>
      <c r="B16" s="15" t="s">
        <v>113</v>
      </c>
      <c r="C16" s="40" t="s">
        <v>63</v>
      </c>
      <c r="D16" s="40" t="s">
        <v>64</v>
      </c>
      <c r="E16" s="37" t="s">
        <v>134</v>
      </c>
      <c r="F16" s="15" t="s">
        <v>135</v>
      </c>
      <c r="G16" s="15" t="s">
        <v>135</v>
      </c>
      <c r="H16" s="15" t="s">
        <v>116</v>
      </c>
      <c r="I16" s="15" t="s">
        <v>136</v>
      </c>
      <c r="J16" s="15" t="s">
        <v>137</v>
      </c>
      <c r="K16" s="15">
        <v>6.0</v>
      </c>
      <c r="L16" s="17">
        <v>1000.0</v>
      </c>
      <c r="M16" s="18">
        <v>0.0</v>
      </c>
      <c r="N16" s="42">
        <v>3.5E8</v>
      </c>
      <c r="O16" s="42">
        <v>6.5E8</v>
      </c>
      <c r="P16" s="21">
        <f t="shared" si="2"/>
        <v>1000000000</v>
      </c>
      <c r="Q16" s="22">
        <v>0.0</v>
      </c>
      <c r="R16" s="22">
        <v>0.0</v>
      </c>
      <c r="S16" s="23">
        <f t="shared" si="3"/>
        <v>1000000000</v>
      </c>
      <c r="T16" s="48" t="s">
        <v>53</v>
      </c>
      <c r="U16" s="48" t="s">
        <v>53</v>
      </c>
      <c r="V16" s="44">
        <v>44406.0</v>
      </c>
      <c r="W16" s="45">
        <v>45679.0</v>
      </c>
      <c r="X16" s="45">
        <v>45860.0</v>
      </c>
      <c r="Y16" s="16">
        <v>0.0</v>
      </c>
      <c r="Z16" s="27">
        <v>0.0</v>
      </c>
      <c r="AA16" s="45">
        <v>45860.0</v>
      </c>
      <c r="AB16" s="27">
        <f t="shared" si="4"/>
        <v>-322</v>
      </c>
      <c r="AC16" s="17">
        <v>1000.0</v>
      </c>
      <c r="AD16" s="18">
        <v>0.0</v>
      </c>
      <c r="AE16" s="19">
        <v>3.5E8</v>
      </c>
      <c r="AF16" s="19">
        <v>3.5E8</v>
      </c>
      <c r="AG16" s="47">
        <f t="shared" si="5"/>
        <v>1</v>
      </c>
      <c r="AH16" s="47">
        <f t="shared" si="6"/>
        <v>1</v>
      </c>
      <c r="AI16" s="15" t="s">
        <v>138</v>
      </c>
      <c r="AJ16" s="38"/>
      <c r="AK16" s="31"/>
      <c r="AL16" s="38"/>
      <c r="AM16" s="39"/>
      <c r="AN16" s="39"/>
      <c r="AO16" s="39"/>
      <c r="AP16" s="34"/>
      <c r="AQ16" s="39"/>
      <c r="AR16" s="35"/>
      <c r="AS16" s="50"/>
      <c r="AT16" s="36"/>
      <c r="AU16" s="36"/>
    </row>
    <row r="17" ht="110.25" customHeight="1">
      <c r="A17" s="18">
        <v>2024.0</v>
      </c>
      <c r="B17" s="40" t="s">
        <v>139</v>
      </c>
      <c r="C17" s="40" t="s">
        <v>63</v>
      </c>
      <c r="D17" s="40" t="s">
        <v>64</v>
      </c>
      <c r="E17" s="57" t="s">
        <v>140</v>
      </c>
      <c r="F17" s="40" t="s">
        <v>141</v>
      </c>
      <c r="G17" s="40" t="s">
        <v>141</v>
      </c>
      <c r="H17" s="40" t="s">
        <v>67</v>
      </c>
      <c r="I17" s="40" t="s">
        <v>142</v>
      </c>
      <c r="J17" s="40" t="s">
        <v>143</v>
      </c>
      <c r="K17" s="40">
        <v>7.0</v>
      </c>
      <c r="L17" s="53">
        <v>700.0</v>
      </c>
      <c r="M17" s="18">
        <v>0.0</v>
      </c>
      <c r="N17" s="41">
        <v>2.45E8</v>
      </c>
      <c r="O17" s="41">
        <v>7.7162499E8</v>
      </c>
      <c r="P17" s="21">
        <f t="shared" si="2"/>
        <v>1016624990</v>
      </c>
      <c r="Q17" s="22">
        <v>0.0</v>
      </c>
      <c r="R17" s="22">
        <v>0.0</v>
      </c>
      <c r="S17" s="23">
        <f t="shared" si="3"/>
        <v>1016624990</v>
      </c>
      <c r="T17" s="48" t="s">
        <v>53</v>
      </c>
      <c r="U17" s="48" t="s">
        <v>53</v>
      </c>
      <c r="V17" s="44">
        <v>44406.0</v>
      </c>
      <c r="W17" s="58">
        <v>45679.0</v>
      </c>
      <c r="X17" s="58">
        <v>45891.0</v>
      </c>
      <c r="Y17" s="16">
        <v>0.0</v>
      </c>
      <c r="Z17" s="27">
        <v>0.0</v>
      </c>
      <c r="AA17" s="58">
        <v>45952.0</v>
      </c>
      <c r="AB17" s="27">
        <f t="shared" si="4"/>
        <v>-230</v>
      </c>
      <c r="AC17" s="53">
        <v>700.0</v>
      </c>
      <c r="AD17" s="18">
        <v>0.0</v>
      </c>
      <c r="AE17" s="46">
        <v>2.45E8</v>
      </c>
      <c r="AF17" s="46">
        <v>2.21907017E8</v>
      </c>
      <c r="AG17" s="47">
        <f t="shared" si="5"/>
        <v>1</v>
      </c>
      <c r="AH17" s="47">
        <f t="shared" si="6"/>
        <v>0.9057429265</v>
      </c>
      <c r="AI17" s="40" t="s">
        <v>144</v>
      </c>
      <c r="AJ17" s="38"/>
      <c r="AK17" s="31"/>
      <c r="AL17" s="38"/>
      <c r="AM17" s="39"/>
      <c r="AN17" s="39"/>
      <c r="AO17" s="39"/>
      <c r="AP17" s="34"/>
      <c r="AQ17" s="39"/>
      <c r="AR17" s="38"/>
      <c r="AS17" s="50"/>
      <c r="AT17" s="36"/>
      <c r="AU17" s="36"/>
    </row>
    <row r="18" ht="110.25" customHeight="1">
      <c r="A18" s="18">
        <v>2024.0</v>
      </c>
      <c r="B18" s="40" t="s">
        <v>139</v>
      </c>
      <c r="C18" s="40" t="s">
        <v>63</v>
      </c>
      <c r="D18" s="40" t="s">
        <v>64</v>
      </c>
      <c r="E18" s="57" t="s">
        <v>145</v>
      </c>
      <c r="F18" s="40" t="s">
        <v>146</v>
      </c>
      <c r="G18" s="40" t="s">
        <v>146</v>
      </c>
      <c r="H18" s="40" t="s">
        <v>67</v>
      </c>
      <c r="I18" s="40" t="s">
        <v>147</v>
      </c>
      <c r="J18" s="40" t="s">
        <v>148</v>
      </c>
      <c r="K18" s="40">
        <v>7.0</v>
      </c>
      <c r="L18" s="53">
        <v>1000.0</v>
      </c>
      <c r="M18" s="18">
        <v>0.0</v>
      </c>
      <c r="N18" s="41">
        <v>3.5E8</v>
      </c>
      <c r="O18" s="41">
        <f>30000000+376004445+43563114</f>
        <v>449567559</v>
      </c>
      <c r="P18" s="21">
        <f t="shared" si="2"/>
        <v>799567559</v>
      </c>
      <c r="Q18" s="22">
        <v>0.0</v>
      </c>
      <c r="R18" s="22">
        <v>0.0</v>
      </c>
      <c r="S18" s="23">
        <f t="shared" si="3"/>
        <v>799567559</v>
      </c>
      <c r="T18" s="48" t="s">
        <v>53</v>
      </c>
      <c r="U18" s="43" t="s">
        <v>53</v>
      </c>
      <c r="V18" s="44">
        <v>44406.0</v>
      </c>
      <c r="W18" s="58">
        <v>45672.0</v>
      </c>
      <c r="X18" s="58">
        <v>45915.0</v>
      </c>
      <c r="Y18" s="27">
        <v>2.0</v>
      </c>
      <c r="Z18" s="27">
        <v>0.0</v>
      </c>
      <c r="AA18" s="58">
        <v>45976.0</v>
      </c>
      <c r="AB18" s="27">
        <f t="shared" si="4"/>
        <v>-206</v>
      </c>
      <c r="AC18" s="17">
        <v>1000.0</v>
      </c>
      <c r="AD18" s="18">
        <v>0.0</v>
      </c>
      <c r="AE18" s="46">
        <v>3.5E8</v>
      </c>
      <c r="AF18" s="46">
        <v>3.24861533E8</v>
      </c>
      <c r="AG18" s="47">
        <f t="shared" si="5"/>
        <v>1</v>
      </c>
      <c r="AH18" s="47">
        <f t="shared" si="6"/>
        <v>0.9281758086</v>
      </c>
      <c r="AI18" s="40" t="s">
        <v>149</v>
      </c>
      <c r="AJ18" s="38"/>
      <c r="AK18" s="31"/>
      <c r="AL18" s="38"/>
      <c r="AM18" s="39"/>
      <c r="AN18" s="39"/>
      <c r="AO18" s="39"/>
      <c r="AP18" s="54"/>
      <c r="AQ18" s="39"/>
      <c r="AR18" s="39"/>
      <c r="AS18" s="50"/>
      <c r="AT18" s="36"/>
      <c r="AU18" s="36"/>
    </row>
    <row r="19" ht="110.25" customHeight="1">
      <c r="A19" s="18">
        <v>2024.0</v>
      </c>
      <c r="B19" s="40" t="s">
        <v>139</v>
      </c>
      <c r="C19" s="40" t="s">
        <v>63</v>
      </c>
      <c r="D19" s="40" t="s">
        <v>64</v>
      </c>
      <c r="E19" s="57" t="s">
        <v>150</v>
      </c>
      <c r="F19" s="40" t="s">
        <v>151</v>
      </c>
      <c r="G19" s="40" t="s">
        <v>151</v>
      </c>
      <c r="H19" s="40" t="s">
        <v>67</v>
      </c>
      <c r="I19" s="40" t="s">
        <v>152</v>
      </c>
      <c r="J19" s="40" t="s">
        <v>153</v>
      </c>
      <c r="K19" s="40">
        <v>7.0</v>
      </c>
      <c r="L19" s="53">
        <v>1000.0</v>
      </c>
      <c r="M19" s="18">
        <v>0.0</v>
      </c>
      <c r="N19" s="41">
        <v>3.5E8</v>
      </c>
      <c r="O19" s="41">
        <f>384587791+107807386</f>
        <v>492395177</v>
      </c>
      <c r="P19" s="21">
        <f t="shared" si="2"/>
        <v>842395177</v>
      </c>
      <c r="Q19" s="22">
        <v>0.0</v>
      </c>
      <c r="R19" s="22">
        <v>0.0</v>
      </c>
      <c r="S19" s="23">
        <f t="shared" si="3"/>
        <v>842395177</v>
      </c>
      <c r="T19" s="48" t="s">
        <v>53</v>
      </c>
      <c r="U19" s="48" t="s">
        <v>53</v>
      </c>
      <c r="V19" s="44">
        <v>44406.0</v>
      </c>
      <c r="W19" s="58">
        <v>45674.0</v>
      </c>
      <c r="X19" s="58">
        <v>45855.0</v>
      </c>
      <c r="Y19" s="27">
        <v>3.0</v>
      </c>
      <c r="Z19" s="27">
        <v>0.0</v>
      </c>
      <c r="AA19" s="58">
        <v>45947.0</v>
      </c>
      <c r="AB19" s="27">
        <f t="shared" si="4"/>
        <v>-235</v>
      </c>
      <c r="AC19" s="53">
        <v>886.0</v>
      </c>
      <c r="AD19" s="18">
        <v>0.0</v>
      </c>
      <c r="AE19" s="46">
        <v>3.5E8</v>
      </c>
      <c r="AF19" s="46">
        <v>2.84363125E8</v>
      </c>
      <c r="AG19" s="47">
        <f t="shared" si="5"/>
        <v>0.886</v>
      </c>
      <c r="AH19" s="47">
        <f t="shared" si="6"/>
        <v>0.8124660714</v>
      </c>
      <c r="AI19" s="40" t="s">
        <v>154</v>
      </c>
      <c r="AJ19" s="38"/>
      <c r="AK19" s="31"/>
      <c r="AL19" s="38"/>
      <c r="AM19" s="39"/>
      <c r="AN19" s="39"/>
      <c r="AO19" s="39"/>
      <c r="AP19" s="55"/>
      <c r="AQ19" s="39"/>
      <c r="AR19" s="39"/>
      <c r="AT19" s="36"/>
      <c r="AU19" s="36"/>
    </row>
    <row r="20" ht="110.25" customHeight="1">
      <c r="A20" s="18">
        <v>2024.0</v>
      </c>
      <c r="B20" s="40" t="s">
        <v>139</v>
      </c>
      <c r="C20" s="40" t="s">
        <v>63</v>
      </c>
      <c r="D20" s="40" t="s">
        <v>64</v>
      </c>
      <c r="E20" s="57" t="s">
        <v>155</v>
      </c>
      <c r="F20" s="40" t="s">
        <v>156</v>
      </c>
      <c r="G20" s="40" t="s">
        <v>156</v>
      </c>
      <c r="H20" s="40" t="s">
        <v>67</v>
      </c>
      <c r="I20" s="40" t="s">
        <v>157</v>
      </c>
      <c r="J20" s="40" t="s">
        <v>158</v>
      </c>
      <c r="K20" s="40">
        <v>5.0</v>
      </c>
      <c r="L20" s="53">
        <v>600.0</v>
      </c>
      <c r="M20" s="18">
        <v>0.0</v>
      </c>
      <c r="N20" s="41">
        <v>2.1E8</v>
      </c>
      <c r="O20" s="41">
        <v>5.10513945E8</v>
      </c>
      <c r="P20" s="21">
        <f t="shared" si="2"/>
        <v>720513945</v>
      </c>
      <c r="Q20" s="22">
        <v>0.0</v>
      </c>
      <c r="R20" s="22">
        <v>0.0</v>
      </c>
      <c r="S20" s="23">
        <f t="shared" si="3"/>
        <v>720513945</v>
      </c>
      <c r="T20" s="48" t="s">
        <v>53</v>
      </c>
      <c r="U20" s="48" t="s">
        <v>53</v>
      </c>
      <c r="V20" s="44">
        <v>44406.0</v>
      </c>
      <c r="W20" s="58">
        <v>45672.0</v>
      </c>
      <c r="X20" s="58">
        <v>45823.0</v>
      </c>
      <c r="Y20" s="27">
        <v>3.0</v>
      </c>
      <c r="Z20" s="27">
        <v>0.0</v>
      </c>
      <c r="AA20" s="58">
        <v>46006.0</v>
      </c>
      <c r="AB20" s="27">
        <f t="shared" si="4"/>
        <v>-176</v>
      </c>
      <c r="AC20" s="53">
        <v>600.0</v>
      </c>
      <c r="AD20" s="18">
        <v>0.0</v>
      </c>
      <c r="AE20" s="46">
        <v>2.1E8</v>
      </c>
      <c r="AF20" s="46">
        <v>1.51700843E8</v>
      </c>
      <c r="AG20" s="47">
        <f t="shared" si="5"/>
        <v>1</v>
      </c>
      <c r="AH20" s="47">
        <f t="shared" si="6"/>
        <v>0.7223849667</v>
      </c>
      <c r="AI20" s="40" t="s">
        <v>159</v>
      </c>
      <c r="AJ20" s="38"/>
      <c r="AK20" s="31"/>
      <c r="AL20" s="38"/>
      <c r="AM20" s="39"/>
      <c r="AN20" s="39"/>
      <c r="AO20" s="39"/>
      <c r="AP20" s="34"/>
      <c r="AQ20" s="39"/>
      <c r="AR20" s="35"/>
      <c r="AT20" s="36"/>
      <c r="AU20" s="36"/>
    </row>
    <row r="21" ht="110.25" customHeight="1">
      <c r="A21" s="28">
        <v>2024.0</v>
      </c>
      <c r="B21" s="15" t="s">
        <v>160</v>
      </c>
      <c r="C21" s="15" t="s">
        <v>63</v>
      </c>
      <c r="D21" s="15" t="s">
        <v>64</v>
      </c>
      <c r="E21" s="37" t="s">
        <v>161</v>
      </c>
      <c r="F21" s="15" t="s">
        <v>162</v>
      </c>
      <c r="G21" s="15" t="s">
        <v>162</v>
      </c>
      <c r="H21" s="15" t="s">
        <v>163</v>
      </c>
      <c r="I21" s="15" t="s">
        <v>164</v>
      </c>
      <c r="J21" s="15" t="s">
        <v>165</v>
      </c>
      <c r="K21" s="16">
        <v>6.0</v>
      </c>
      <c r="L21" s="17">
        <v>1000.0</v>
      </c>
      <c r="M21" s="18"/>
      <c r="N21" s="42">
        <v>3.5E8</v>
      </c>
      <c r="O21" s="56">
        <f>259768800+99900000</f>
        <v>359668800</v>
      </c>
      <c r="P21" s="21">
        <f t="shared" si="2"/>
        <v>709668800</v>
      </c>
      <c r="Q21" s="22">
        <v>0.0</v>
      </c>
      <c r="R21" s="22">
        <v>0.0</v>
      </c>
      <c r="S21" s="23">
        <f t="shared" si="3"/>
        <v>709668800</v>
      </c>
      <c r="T21" s="24" t="s">
        <v>53</v>
      </c>
      <c r="U21" s="24" t="s">
        <v>70</v>
      </c>
      <c r="V21" s="25">
        <v>43441.0</v>
      </c>
      <c r="W21" s="26">
        <v>45679.0</v>
      </c>
      <c r="X21" s="26">
        <v>45860.0</v>
      </c>
      <c r="Y21" s="16">
        <v>5.0</v>
      </c>
      <c r="Z21" s="27">
        <v>0.0</v>
      </c>
      <c r="AA21" s="26">
        <v>46013.0</v>
      </c>
      <c r="AB21" s="27">
        <f t="shared" si="4"/>
        <v>-169</v>
      </c>
      <c r="AC21" s="28">
        <v>800.0</v>
      </c>
      <c r="AD21" s="18">
        <v>0.0</v>
      </c>
      <c r="AE21" s="56">
        <v>3.5E8</v>
      </c>
      <c r="AF21" s="56">
        <v>2.31E8</v>
      </c>
      <c r="AG21" s="29">
        <f t="shared" si="5"/>
        <v>0.8</v>
      </c>
      <c r="AH21" s="29">
        <f t="shared" si="6"/>
        <v>0.66</v>
      </c>
      <c r="AI21" s="15" t="s">
        <v>166</v>
      </c>
      <c r="AJ21" s="38"/>
      <c r="AK21" s="31"/>
      <c r="AL21" s="38"/>
      <c r="AM21" s="39"/>
      <c r="AN21" s="39"/>
      <c r="AO21" s="39"/>
      <c r="AP21" s="34"/>
      <c r="AQ21" s="39"/>
      <c r="AR21" s="35"/>
      <c r="AS21" s="36"/>
      <c r="AT21" s="36"/>
      <c r="AU21" s="36"/>
    </row>
    <row r="22" ht="110.25" customHeight="1">
      <c r="A22" s="28">
        <v>2024.0</v>
      </c>
      <c r="B22" s="15" t="s">
        <v>160</v>
      </c>
      <c r="C22" s="15" t="s">
        <v>63</v>
      </c>
      <c r="D22" s="15" t="s">
        <v>64</v>
      </c>
      <c r="E22" s="37" t="s">
        <v>167</v>
      </c>
      <c r="F22" s="15" t="s">
        <v>168</v>
      </c>
      <c r="G22" s="15" t="s">
        <v>168</v>
      </c>
      <c r="H22" s="15" t="s">
        <v>67</v>
      </c>
      <c r="I22" s="15" t="s">
        <v>169</v>
      </c>
      <c r="J22" s="15" t="s">
        <v>170</v>
      </c>
      <c r="K22" s="16">
        <v>5.0</v>
      </c>
      <c r="L22" s="17">
        <v>1332.0</v>
      </c>
      <c r="M22" s="18"/>
      <c r="N22" s="42">
        <v>3.49615135E8</v>
      </c>
      <c r="O22" s="56">
        <v>1.62602956E8</v>
      </c>
      <c r="P22" s="21">
        <f t="shared" si="2"/>
        <v>512218091</v>
      </c>
      <c r="Q22" s="22">
        <v>0.0</v>
      </c>
      <c r="R22" s="22">
        <v>0.0</v>
      </c>
      <c r="S22" s="23">
        <f t="shared" si="3"/>
        <v>512218091</v>
      </c>
      <c r="T22" s="24" t="s">
        <v>53</v>
      </c>
      <c r="U22" s="24" t="s">
        <v>53</v>
      </c>
      <c r="V22" s="25">
        <v>43441.0</v>
      </c>
      <c r="W22" s="26">
        <v>45497.0</v>
      </c>
      <c r="X22" s="26">
        <v>45656.0</v>
      </c>
      <c r="Y22" s="16">
        <v>0.0</v>
      </c>
      <c r="Z22" s="27">
        <v>0.0</v>
      </c>
      <c r="AA22" s="26">
        <v>45656.0</v>
      </c>
      <c r="AB22" s="27">
        <f t="shared" si="4"/>
        <v>-526</v>
      </c>
      <c r="AC22" s="28">
        <v>1332.0</v>
      </c>
      <c r="AD22" s="18">
        <v>0.0</v>
      </c>
      <c r="AE22" s="56">
        <v>3.49615135E8</v>
      </c>
      <c r="AF22" s="56">
        <v>3.49615135E8</v>
      </c>
      <c r="AG22" s="29">
        <f t="shared" si="5"/>
        <v>1</v>
      </c>
      <c r="AH22" s="29">
        <f t="shared" si="6"/>
        <v>1</v>
      </c>
      <c r="AI22" s="15" t="s">
        <v>171</v>
      </c>
      <c r="AJ22" s="38"/>
      <c r="AK22" s="31"/>
      <c r="AL22" s="38"/>
      <c r="AM22" s="39"/>
      <c r="AN22" s="39"/>
      <c r="AO22" s="39"/>
      <c r="AP22" s="34"/>
      <c r="AQ22" s="39"/>
      <c r="AR22" s="49"/>
      <c r="AS22" s="36"/>
      <c r="AT22" s="52" t="s">
        <v>90</v>
      </c>
      <c r="AU22" s="36"/>
    </row>
    <row r="23" ht="110.25" customHeight="1">
      <c r="A23" s="28">
        <v>2024.0</v>
      </c>
      <c r="B23" s="15" t="s">
        <v>160</v>
      </c>
      <c r="C23" s="15" t="s">
        <v>63</v>
      </c>
      <c r="D23" s="15" t="s">
        <v>64</v>
      </c>
      <c r="E23" s="37" t="s">
        <v>172</v>
      </c>
      <c r="F23" s="15" t="s">
        <v>173</v>
      </c>
      <c r="G23" s="15" t="s">
        <v>173</v>
      </c>
      <c r="H23" s="15" t="s">
        <v>174</v>
      </c>
      <c r="I23" s="15" t="s">
        <v>175</v>
      </c>
      <c r="J23" s="15" t="s">
        <v>176</v>
      </c>
      <c r="K23" s="16">
        <v>7.0</v>
      </c>
      <c r="L23" s="17">
        <v>1084.0</v>
      </c>
      <c r="M23" s="18"/>
      <c r="N23" s="42">
        <v>5.985E8</v>
      </c>
      <c r="O23" s="56">
        <f>898744272.59+244817558.23</f>
        <v>1143561831</v>
      </c>
      <c r="P23" s="21">
        <f t="shared" si="2"/>
        <v>1742061831</v>
      </c>
      <c r="Q23" s="20">
        <v>-3.794E8</v>
      </c>
      <c r="R23" s="22">
        <v>0.0</v>
      </c>
      <c r="S23" s="23">
        <f t="shared" si="3"/>
        <v>1362661831</v>
      </c>
      <c r="T23" s="24" t="s">
        <v>53</v>
      </c>
      <c r="U23" s="24" t="s">
        <v>53</v>
      </c>
      <c r="V23" s="25">
        <v>43441.0</v>
      </c>
      <c r="W23" s="26">
        <v>45681.0</v>
      </c>
      <c r="X23" s="26">
        <v>45893.0</v>
      </c>
      <c r="Y23" s="16">
        <v>3.0</v>
      </c>
      <c r="Z23" s="27">
        <v>0.0</v>
      </c>
      <c r="AA23" s="26">
        <v>45991.0</v>
      </c>
      <c r="AB23" s="27">
        <f t="shared" si="4"/>
        <v>-191</v>
      </c>
      <c r="AC23" s="28">
        <v>672.0</v>
      </c>
      <c r="AD23" s="18">
        <v>0.0</v>
      </c>
      <c r="AE23" s="56">
        <v>1.362661831E9</v>
      </c>
      <c r="AF23" s="56">
        <v>8.35175436E8</v>
      </c>
      <c r="AG23" s="29">
        <f t="shared" si="5"/>
        <v>0.6199261993</v>
      </c>
      <c r="AH23" s="29">
        <f t="shared" si="6"/>
        <v>0.6128999998</v>
      </c>
      <c r="AI23" s="15" t="s">
        <v>177</v>
      </c>
      <c r="AJ23" s="38"/>
      <c r="AK23" s="31"/>
      <c r="AL23" s="38"/>
      <c r="AM23" s="39"/>
      <c r="AN23" s="39"/>
      <c r="AO23" s="39"/>
      <c r="AP23" s="51"/>
      <c r="AQ23" s="39"/>
      <c r="AR23" s="49"/>
      <c r="AS23" s="36"/>
      <c r="AT23" s="36"/>
      <c r="AU23" s="36"/>
    </row>
    <row r="24" ht="110.25" customHeight="1">
      <c r="A24" s="18">
        <v>2024.0</v>
      </c>
      <c r="B24" s="15" t="s">
        <v>160</v>
      </c>
      <c r="C24" s="40" t="s">
        <v>63</v>
      </c>
      <c r="D24" s="40" t="s">
        <v>64</v>
      </c>
      <c r="E24" s="37" t="s">
        <v>178</v>
      </c>
      <c r="F24" s="15" t="s">
        <v>179</v>
      </c>
      <c r="G24" s="15" t="s">
        <v>179</v>
      </c>
      <c r="H24" s="15" t="s">
        <v>163</v>
      </c>
      <c r="I24" s="15" t="s">
        <v>180</v>
      </c>
      <c r="J24" s="15" t="s">
        <v>181</v>
      </c>
      <c r="K24" s="15">
        <v>6.0</v>
      </c>
      <c r="L24" s="17">
        <v>1000.0</v>
      </c>
      <c r="M24" s="18">
        <v>0.0</v>
      </c>
      <c r="N24" s="42">
        <v>3.5E8</v>
      </c>
      <c r="O24" s="42">
        <v>3.90331791E8</v>
      </c>
      <c r="P24" s="21">
        <f t="shared" si="2"/>
        <v>740331791</v>
      </c>
      <c r="Q24" s="22">
        <v>0.0</v>
      </c>
      <c r="R24" s="22">
        <v>0.0</v>
      </c>
      <c r="S24" s="23">
        <f t="shared" si="3"/>
        <v>740331791</v>
      </c>
      <c r="T24" s="48" t="s">
        <v>53</v>
      </c>
      <c r="U24" s="48" t="s">
        <v>53</v>
      </c>
      <c r="V24" s="44">
        <v>44406.0</v>
      </c>
      <c r="W24" s="45">
        <v>45672.0</v>
      </c>
      <c r="X24" s="45">
        <v>45853.0</v>
      </c>
      <c r="Y24" s="16">
        <v>3.0</v>
      </c>
      <c r="Z24" s="27">
        <v>0.0</v>
      </c>
      <c r="AA24" s="45">
        <v>45990.0</v>
      </c>
      <c r="AB24" s="27">
        <f t="shared" si="4"/>
        <v>-192</v>
      </c>
      <c r="AC24" s="17">
        <v>1000.0</v>
      </c>
      <c r="AD24" s="18">
        <v>0.0</v>
      </c>
      <c r="AE24" s="42">
        <v>3.5E8</v>
      </c>
      <c r="AF24" s="42">
        <v>3.5E8</v>
      </c>
      <c r="AG24" s="47">
        <f t="shared" si="5"/>
        <v>1</v>
      </c>
      <c r="AH24" s="47">
        <f t="shared" si="6"/>
        <v>1</v>
      </c>
      <c r="AI24" s="15" t="s">
        <v>182</v>
      </c>
      <c r="AJ24" s="38"/>
      <c r="AK24" s="31"/>
      <c r="AL24" s="38"/>
      <c r="AM24" s="39"/>
      <c r="AN24" s="39"/>
      <c r="AO24" s="39"/>
      <c r="AP24" s="54"/>
      <c r="AQ24" s="39"/>
      <c r="AR24" s="38"/>
      <c r="AS24" s="50"/>
      <c r="AT24" s="36"/>
      <c r="AU24" s="36"/>
    </row>
    <row r="25" ht="110.25" customHeight="1">
      <c r="A25" s="28">
        <v>2024.0</v>
      </c>
      <c r="B25" s="15" t="s">
        <v>183</v>
      </c>
      <c r="C25" s="40" t="s">
        <v>63</v>
      </c>
      <c r="D25" s="15" t="s">
        <v>64</v>
      </c>
      <c r="E25" s="37" t="s">
        <v>184</v>
      </c>
      <c r="F25" s="15" t="s">
        <v>185</v>
      </c>
      <c r="G25" s="15" t="s">
        <v>185</v>
      </c>
      <c r="H25" s="15" t="s">
        <v>109</v>
      </c>
      <c r="I25" s="15" t="s">
        <v>186</v>
      </c>
      <c r="J25" s="28" t="s">
        <v>187</v>
      </c>
      <c r="K25" s="16">
        <v>3.0</v>
      </c>
      <c r="L25" s="17">
        <v>100.0</v>
      </c>
      <c r="M25" s="18">
        <v>0.0</v>
      </c>
      <c r="N25" s="42">
        <v>3.4994438E7</v>
      </c>
      <c r="O25" s="56">
        <v>8.065162E7</v>
      </c>
      <c r="P25" s="21">
        <f t="shared" si="2"/>
        <v>115646058</v>
      </c>
      <c r="Q25" s="22">
        <v>0.0</v>
      </c>
      <c r="R25" s="22">
        <v>0.0</v>
      </c>
      <c r="S25" s="23">
        <f t="shared" si="3"/>
        <v>115646058</v>
      </c>
      <c r="T25" s="24" t="s">
        <v>53</v>
      </c>
      <c r="U25" s="24" t="s">
        <v>53</v>
      </c>
      <c r="V25" s="25">
        <v>43441.0</v>
      </c>
      <c r="W25" s="26">
        <v>45502.0</v>
      </c>
      <c r="X25" s="26">
        <v>45656.0</v>
      </c>
      <c r="Y25" s="27">
        <v>0.0</v>
      </c>
      <c r="Z25" s="27">
        <v>0.0</v>
      </c>
      <c r="AA25" s="26">
        <v>45656.0</v>
      </c>
      <c r="AB25" s="27">
        <f t="shared" si="4"/>
        <v>-526</v>
      </c>
      <c r="AC25" s="28">
        <v>100.0</v>
      </c>
      <c r="AD25" s="18">
        <v>0.0</v>
      </c>
      <c r="AE25" s="59">
        <v>1.188E8</v>
      </c>
      <c r="AF25" s="56">
        <v>1.188E8</v>
      </c>
      <c r="AG25" s="29">
        <f t="shared" si="5"/>
        <v>1</v>
      </c>
      <c r="AH25" s="29">
        <f t="shared" si="6"/>
        <v>1</v>
      </c>
      <c r="AI25" s="15" t="s">
        <v>188</v>
      </c>
      <c r="AJ25" s="30" t="s">
        <v>55</v>
      </c>
      <c r="AK25" s="31"/>
      <c r="AL25" s="30" t="s">
        <v>56</v>
      </c>
      <c r="AM25" s="32" t="s">
        <v>57</v>
      </c>
      <c r="AN25" s="32" t="s">
        <v>57</v>
      </c>
      <c r="AO25" s="33"/>
      <c r="AP25" s="34"/>
      <c r="AQ25" s="32" t="s">
        <v>56</v>
      </c>
      <c r="AR25" s="35"/>
      <c r="AS25" s="36"/>
      <c r="AT25" s="36"/>
      <c r="AU25" s="36"/>
    </row>
    <row r="26" ht="15.75" customHeight="1">
      <c r="A26" s="28">
        <v>2024.0</v>
      </c>
      <c r="B26" s="60" t="s">
        <v>183</v>
      </c>
      <c r="C26" s="40" t="s">
        <v>63</v>
      </c>
      <c r="D26" s="60" t="s">
        <v>64</v>
      </c>
      <c r="E26" s="37" t="s">
        <v>189</v>
      </c>
      <c r="F26" s="60" t="s">
        <v>190</v>
      </c>
      <c r="G26" s="60" t="s">
        <v>190</v>
      </c>
      <c r="H26" s="60" t="s">
        <v>109</v>
      </c>
      <c r="I26" s="60" t="s">
        <v>191</v>
      </c>
      <c r="J26" s="60" t="s">
        <v>192</v>
      </c>
      <c r="K26" s="61">
        <v>4.0</v>
      </c>
      <c r="L26" s="62">
        <v>1000.0</v>
      </c>
      <c r="M26" s="63">
        <v>0.0</v>
      </c>
      <c r="N26" s="42">
        <v>3.49992727E8</v>
      </c>
      <c r="O26" s="56">
        <v>6.0361569E8</v>
      </c>
      <c r="P26" s="64">
        <f t="shared" si="2"/>
        <v>953608417</v>
      </c>
      <c r="Q26" s="59">
        <v>0.0</v>
      </c>
      <c r="R26" s="59">
        <v>0.0</v>
      </c>
      <c r="S26" s="65">
        <f t="shared" si="3"/>
        <v>953608417</v>
      </c>
      <c r="T26" s="66" t="s">
        <v>53</v>
      </c>
      <c r="U26" s="66" t="s">
        <v>53</v>
      </c>
      <c r="V26" s="67">
        <v>43441.0</v>
      </c>
      <c r="W26" s="68">
        <v>45517.0</v>
      </c>
      <c r="X26" s="68">
        <v>45656.0</v>
      </c>
      <c r="Y26" s="69">
        <v>0.0</v>
      </c>
      <c r="Z26" s="69">
        <v>0.0</v>
      </c>
      <c r="AA26" s="68">
        <v>45656.0</v>
      </c>
      <c r="AB26" s="27">
        <f t="shared" si="4"/>
        <v>-526</v>
      </c>
      <c r="AC26" s="70">
        <v>1000.0</v>
      </c>
      <c r="AD26" s="63">
        <v>0.0</v>
      </c>
      <c r="AE26" s="56">
        <v>3.49992727E8</v>
      </c>
      <c r="AF26" s="56">
        <v>3.49992727E8</v>
      </c>
      <c r="AG26" s="71">
        <f t="shared" si="5"/>
        <v>1</v>
      </c>
      <c r="AH26" s="71">
        <f t="shared" si="6"/>
        <v>1</v>
      </c>
      <c r="AI26" s="60" t="s">
        <v>188</v>
      </c>
      <c r="AJ26" s="38"/>
      <c r="AK26" s="31"/>
      <c r="AL26" s="38"/>
      <c r="AM26" s="39"/>
      <c r="AN26" s="39"/>
      <c r="AO26" s="39"/>
      <c r="AP26" s="34"/>
      <c r="AQ26" s="39"/>
      <c r="AR26" s="49"/>
      <c r="AS26" s="36"/>
      <c r="AT26" s="50"/>
      <c r="AU26" s="50"/>
    </row>
    <row r="27" ht="102.0" customHeight="1">
      <c r="A27" s="18">
        <v>2024.0</v>
      </c>
      <c r="B27" s="60" t="s">
        <v>193</v>
      </c>
      <c r="C27" s="40" t="s">
        <v>63</v>
      </c>
      <c r="D27" s="72" t="s">
        <v>64</v>
      </c>
      <c r="E27" s="37" t="s">
        <v>194</v>
      </c>
      <c r="F27" s="60" t="s">
        <v>195</v>
      </c>
      <c r="G27" s="60" t="s">
        <v>195</v>
      </c>
      <c r="H27" s="60" t="s">
        <v>109</v>
      </c>
      <c r="I27" s="60" t="s">
        <v>196</v>
      </c>
      <c r="J27" s="60" t="s">
        <v>197</v>
      </c>
      <c r="K27" s="60">
        <v>10.0</v>
      </c>
      <c r="L27" s="73">
        <v>500.0</v>
      </c>
      <c r="M27" s="63">
        <v>0.0</v>
      </c>
      <c r="N27" s="42">
        <v>1.75E8</v>
      </c>
      <c r="O27" s="42">
        <f>275586929+135959500</f>
        <v>411546429</v>
      </c>
      <c r="P27" s="64">
        <f t="shared" si="2"/>
        <v>586546429</v>
      </c>
      <c r="Q27" s="59">
        <v>0.0</v>
      </c>
      <c r="R27" s="59">
        <v>0.0</v>
      </c>
      <c r="S27" s="65">
        <f t="shared" si="3"/>
        <v>586546429</v>
      </c>
      <c r="T27" s="74" t="s">
        <v>53</v>
      </c>
      <c r="U27" s="74" t="s">
        <v>53</v>
      </c>
      <c r="V27" s="75">
        <v>44406.0</v>
      </c>
      <c r="W27" s="76">
        <v>45671.0</v>
      </c>
      <c r="X27" s="76">
        <v>45975.0</v>
      </c>
      <c r="Y27" s="61">
        <v>0.0</v>
      </c>
      <c r="Z27" s="69">
        <v>0.0</v>
      </c>
      <c r="AA27" s="76">
        <v>45975.0</v>
      </c>
      <c r="AB27" s="27">
        <f t="shared" si="4"/>
        <v>-207</v>
      </c>
      <c r="AC27" s="73">
        <v>475.0</v>
      </c>
      <c r="AD27" s="63">
        <v>0.0</v>
      </c>
      <c r="AE27" s="42">
        <v>1.75E8</v>
      </c>
      <c r="AF27" s="42">
        <v>1.75E8</v>
      </c>
      <c r="AG27" s="77">
        <f t="shared" si="5"/>
        <v>0.95</v>
      </c>
      <c r="AH27" s="77">
        <f t="shared" si="6"/>
        <v>1</v>
      </c>
      <c r="AI27" s="60" t="s">
        <v>198</v>
      </c>
      <c r="AJ27" s="38"/>
      <c r="AK27" s="31"/>
      <c r="AL27" s="38"/>
      <c r="AM27" s="39"/>
      <c r="AN27" s="39"/>
      <c r="AO27" s="39"/>
      <c r="AP27" s="51"/>
      <c r="AQ27" s="39"/>
      <c r="AR27" s="49"/>
      <c r="AS27" s="50"/>
      <c r="AT27" s="50"/>
      <c r="AU27" s="50"/>
    </row>
    <row r="28" ht="102.0" customHeight="1">
      <c r="A28" s="18">
        <v>2024.0</v>
      </c>
      <c r="B28" s="60" t="s">
        <v>193</v>
      </c>
      <c r="C28" s="40" t="s">
        <v>63</v>
      </c>
      <c r="D28" s="72" t="s">
        <v>64</v>
      </c>
      <c r="E28" s="37" t="s">
        <v>199</v>
      </c>
      <c r="F28" s="60" t="s">
        <v>200</v>
      </c>
      <c r="G28" s="60" t="s">
        <v>200</v>
      </c>
      <c r="H28" s="60" t="s">
        <v>109</v>
      </c>
      <c r="I28" s="60" t="s">
        <v>201</v>
      </c>
      <c r="J28" s="60" t="s">
        <v>202</v>
      </c>
      <c r="K28" s="60">
        <v>5.0</v>
      </c>
      <c r="L28" s="73">
        <v>1000.0</v>
      </c>
      <c r="M28" s="63">
        <v>0.0</v>
      </c>
      <c r="N28" s="42">
        <v>3.49975959E8</v>
      </c>
      <c r="O28" s="42">
        <v>1.408091719E9</v>
      </c>
      <c r="P28" s="64">
        <f t="shared" si="2"/>
        <v>1758067678</v>
      </c>
      <c r="Q28" s="59">
        <v>0.0</v>
      </c>
      <c r="R28" s="59">
        <v>0.0</v>
      </c>
      <c r="S28" s="65">
        <f t="shared" si="3"/>
        <v>1758067678</v>
      </c>
      <c r="T28" s="74" t="s">
        <v>53</v>
      </c>
      <c r="U28" s="74" t="s">
        <v>53</v>
      </c>
      <c r="V28" s="75">
        <v>44406.0</v>
      </c>
      <c r="W28" s="76">
        <v>45502.0</v>
      </c>
      <c r="X28" s="76">
        <v>45656.0</v>
      </c>
      <c r="Y28" s="61">
        <v>0.0</v>
      </c>
      <c r="Z28" s="69">
        <v>0.0</v>
      </c>
      <c r="AA28" s="76">
        <v>45656.0</v>
      </c>
      <c r="AB28" s="27">
        <f t="shared" si="4"/>
        <v>-526</v>
      </c>
      <c r="AC28" s="73">
        <v>1000.0</v>
      </c>
      <c r="AD28" s="63">
        <v>0.0</v>
      </c>
      <c r="AE28" s="42">
        <v>3.49975959E8</v>
      </c>
      <c r="AF28" s="42">
        <v>3.49975959E8</v>
      </c>
      <c r="AG28" s="77">
        <f t="shared" si="5"/>
        <v>1</v>
      </c>
      <c r="AH28" s="77">
        <f t="shared" si="6"/>
        <v>1</v>
      </c>
      <c r="AI28" s="60" t="s">
        <v>188</v>
      </c>
      <c r="AJ28" s="38"/>
      <c r="AK28" s="31"/>
      <c r="AL28" s="38"/>
      <c r="AM28" s="39"/>
      <c r="AN28" s="39"/>
      <c r="AO28" s="39"/>
      <c r="AP28" s="34"/>
      <c r="AQ28" s="39"/>
      <c r="AR28" s="35"/>
      <c r="AS28" s="50"/>
      <c r="AT28" s="50"/>
      <c r="AU28" s="50"/>
    </row>
    <row r="29" ht="102.0" customHeight="1">
      <c r="A29" s="28">
        <v>2024.0</v>
      </c>
      <c r="B29" s="60" t="s">
        <v>193</v>
      </c>
      <c r="C29" s="40" t="s">
        <v>63</v>
      </c>
      <c r="D29" s="72" t="s">
        <v>64</v>
      </c>
      <c r="E29" s="37" t="s">
        <v>203</v>
      </c>
      <c r="F29" s="60" t="s">
        <v>204</v>
      </c>
      <c r="G29" s="60" t="s">
        <v>204</v>
      </c>
      <c r="H29" s="60" t="s">
        <v>109</v>
      </c>
      <c r="I29" s="60" t="s">
        <v>205</v>
      </c>
      <c r="J29" s="60" t="s">
        <v>206</v>
      </c>
      <c r="K29" s="60">
        <v>4.0</v>
      </c>
      <c r="L29" s="73">
        <v>1000.0</v>
      </c>
      <c r="M29" s="63">
        <v>0.0</v>
      </c>
      <c r="N29" s="42">
        <v>3.49992105E8</v>
      </c>
      <c r="O29" s="42">
        <v>5.95429488E8</v>
      </c>
      <c r="P29" s="64">
        <f t="shared" si="2"/>
        <v>945421593</v>
      </c>
      <c r="Q29" s="59">
        <v>0.0</v>
      </c>
      <c r="R29" s="59">
        <v>0.0</v>
      </c>
      <c r="S29" s="65">
        <f t="shared" si="3"/>
        <v>945421593</v>
      </c>
      <c r="T29" s="74" t="s">
        <v>53</v>
      </c>
      <c r="U29" s="74" t="s">
        <v>53</v>
      </c>
      <c r="V29" s="75">
        <v>44406.0</v>
      </c>
      <c r="W29" s="76">
        <v>45516.0</v>
      </c>
      <c r="X29" s="76">
        <v>45656.0</v>
      </c>
      <c r="Y29" s="61">
        <v>0.0</v>
      </c>
      <c r="Z29" s="69">
        <v>0.0</v>
      </c>
      <c r="AA29" s="76">
        <v>45656.0</v>
      </c>
      <c r="AB29" s="27">
        <f t="shared" si="4"/>
        <v>-526</v>
      </c>
      <c r="AC29" s="73">
        <v>1000.0</v>
      </c>
      <c r="AD29" s="63">
        <v>0.0</v>
      </c>
      <c r="AE29" s="42">
        <v>3.49992105E8</v>
      </c>
      <c r="AF29" s="42">
        <v>3.49992105E8</v>
      </c>
      <c r="AG29" s="77">
        <f t="shared" si="5"/>
        <v>1</v>
      </c>
      <c r="AH29" s="77">
        <f t="shared" si="6"/>
        <v>1</v>
      </c>
      <c r="AI29" s="60" t="s">
        <v>188</v>
      </c>
      <c r="AJ29" s="38"/>
      <c r="AK29" s="31"/>
      <c r="AL29" s="38"/>
      <c r="AM29" s="39"/>
      <c r="AN29" s="39"/>
      <c r="AO29" s="39"/>
      <c r="AP29" s="34"/>
      <c r="AQ29" s="39"/>
      <c r="AR29" s="35"/>
      <c r="AS29" s="50"/>
      <c r="AT29" s="50"/>
      <c r="AU29" s="50"/>
    </row>
    <row r="30" ht="102.0" customHeight="1">
      <c r="A30" s="28">
        <v>2024.0</v>
      </c>
      <c r="B30" s="60" t="s">
        <v>193</v>
      </c>
      <c r="C30" s="40" t="s">
        <v>63</v>
      </c>
      <c r="D30" s="72" t="s">
        <v>64</v>
      </c>
      <c r="E30" s="37" t="s">
        <v>207</v>
      </c>
      <c r="F30" s="60" t="s">
        <v>204</v>
      </c>
      <c r="G30" s="60" t="s">
        <v>204</v>
      </c>
      <c r="H30" s="60" t="s">
        <v>109</v>
      </c>
      <c r="I30" s="60" t="s">
        <v>205</v>
      </c>
      <c r="J30" s="60" t="s">
        <v>208</v>
      </c>
      <c r="K30" s="60">
        <v>7.0</v>
      </c>
      <c r="L30" s="73">
        <v>1000.0</v>
      </c>
      <c r="M30" s="63">
        <v>0.0</v>
      </c>
      <c r="N30" s="42">
        <v>3.49998338E8</v>
      </c>
      <c r="O30" s="42">
        <v>8.47342338E8</v>
      </c>
      <c r="P30" s="64">
        <f t="shared" si="2"/>
        <v>1197340676</v>
      </c>
      <c r="Q30" s="59">
        <v>0.0</v>
      </c>
      <c r="R30" s="59">
        <v>0.0</v>
      </c>
      <c r="S30" s="65">
        <f t="shared" si="3"/>
        <v>1197340676</v>
      </c>
      <c r="T30" s="74" t="s">
        <v>53</v>
      </c>
      <c r="U30" s="74" t="s">
        <v>53</v>
      </c>
      <c r="V30" s="75">
        <v>44406.0</v>
      </c>
      <c r="W30" s="76">
        <v>45685.0</v>
      </c>
      <c r="X30" s="76">
        <v>45866.0</v>
      </c>
      <c r="Y30" s="61">
        <v>0.0</v>
      </c>
      <c r="Z30" s="69">
        <v>0.0</v>
      </c>
      <c r="AA30" s="76">
        <v>45866.0</v>
      </c>
      <c r="AB30" s="27">
        <f t="shared" si="4"/>
        <v>-316</v>
      </c>
      <c r="AC30" s="73">
        <v>1000.0</v>
      </c>
      <c r="AD30" s="63">
        <v>0.0</v>
      </c>
      <c r="AE30" s="42">
        <v>3.49998338E8</v>
      </c>
      <c r="AF30" s="42">
        <v>3.49998338E8</v>
      </c>
      <c r="AG30" s="77">
        <f t="shared" si="5"/>
        <v>1</v>
      </c>
      <c r="AH30" s="77">
        <f t="shared" si="6"/>
        <v>1</v>
      </c>
      <c r="AI30" s="60" t="s">
        <v>209</v>
      </c>
      <c r="AJ30" s="38"/>
      <c r="AK30" s="31"/>
      <c r="AL30" s="38"/>
      <c r="AM30" s="39"/>
      <c r="AN30" s="39"/>
      <c r="AO30" s="39"/>
      <c r="AP30" s="34"/>
      <c r="AQ30" s="39"/>
      <c r="AR30" s="39"/>
      <c r="AS30" s="50"/>
      <c r="AT30" s="50"/>
      <c r="AU30" s="50"/>
    </row>
    <row r="31" ht="102.0" customHeight="1">
      <c r="A31" s="28">
        <v>2024.0</v>
      </c>
      <c r="B31" s="60" t="s">
        <v>193</v>
      </c>
      <c r="C31" s="40" t="s">
        <v>63</v>
      </c>
      <c r="D31" s="72" t="s">
        <v>64</v>
      </c>
      <c r="E31" s="37" t="s">
        <v>210</v>
      </c>
      <c r="F31" s="60" t="s">
        <v>211</v>
      </c>
      <c r="G31" s="60" t="s">
        <v>211</v>
      </c>
      <c r="H31" s="60" t="s">
        <v>109</v>
      </c>
      <c r="I31" s="60" t="s">
        <v>212</v>
      </c>
      <c r="J31" s="60" t="s">
        <v>206</v>
      </c>
      <c r="K31" s="60">
        <v>7.0</v>
      </c>
      <c r="L31" s="73">
        <v>1681.0</v>
      </c>
      <c r="M31" s="63">
        <v>0.0</v>
      </c>
      <c r="N31" s="42">
        <v>5.8835E8</v>
      </c>
      <c r="O31" s="42">
        <f>1443886577+536648703+15253252</f>
        <v>1995788532</v>
      </c>
      <c r="P31" s="64">
        <f t="shared" si="2"/>
        <v>2584138532</v>
      </c>
      <c r="Q31" s="59">
        <v>0.0</v>
      </c>
      <c r="R31" s="59">
        <v>0.0</v>
      </c>
      <c r="S31" s="65">
        <f t="shared" si="3"/>
        <v>2584138532</v>
      </c>
      <c r="T31" s="78" t="s">
        <v>213</v>
      </c>
      <c r="U31" s="78" t="s">
        <v>214</v>
      </c>
      <c r="V31" s="75">
        <v>44406.0</v>
      </c>
      <c r="W31" s="76">
        <v>45694.0</v>
      </c>
      <c r="X31" s="76">
        <v>45906.0</v>
      </c>
      <c r="Y31" s="61">
        <v>0.0</v>
      </c>
      <c r="Z31" s="69">
        <v>0.0</v>
      </c>
      <c r="AA31" s="76">
        <v>45906.0</v>
      </c>
      <c r="AB31" s="27">
        <f t="shared" si="4"/>
        <v>-276</v>
      </c>
      <c r="AC31" s="73">
        <v>0.0</v>
      </c>
      <c r="AD31" s="63">
        <v>0.0</v>
      </c>
      <c r="AE31" s="42">
        <v>5.8835E8</v>
      </c>
      <c r="AF31" s="42">
        <v>0.0</v>
      </c>
      <c r="AG31" s="77">
        <f t="shared" si="5"/>
        <v>0</v>
      </c>
      <c r="AH31" s="77">
        <f t="shared" si="6"/>
        <v>0</v>
      </c>
      <c r="AI31" s="60" t="s">
        <v>215</v>
      </c>
      <c r="AJ31" s="38"/>
      <c r="AK31" s="31"/>
      <c r="AL31" s="38"/>
      <c r="AM31" s="39"/>
      <c r="AN31" s="39"/>
      <c r="AO31" s="39"/>
      <c r="AP31" s="51"/>
      <c r="AQ31" s="39"/>
      <c r="AR31" s="39"/>
      <c r="AS31" s="50"/>
      <c r="AT31" s="50"/>
      <c r="AU31" s="50"/>
    </row>
    <row r="32" ht="102.0" customHeight="1">
      <c r="A32" s="28">
        <v>2024.0</v>
      </c>
      <c r="B32" s="60" t="s">
        <v>193</v>
      </c>
      <c r="C32" s="40" t="s">
        <v>63</v>
      </c>
      <c r="D32" s="72" t="s">
        <v>64</v>
      </c>
      <c r="E32" s="37" t="s">
        <v>216</v>
      </c>
      <c r="F32" s="60" t="s">
        <v>217</v>
      </c>
      <c r="G32" s="60" t="s">
        <v>217</v>
      </c>
      <c r="H32" s="60" t="s">
        <v>109</v>
      </c>
      <c r="I32" s="60" t="s">
        <v>218</v>
      </c>
      <c r="J32" s="60" t="s">
        <v>219</v>
      </c>
      <c r="K32" s="60">
        <v>8.0</v>
      </c>
      <c r="L32" s="73">
        <v>700.0</v>
      </c>
      <c r="M32" s="63">
        <v>0.0</v>
      </c>
      <c r="N32" s="42">
        <v>2.45E8</v>
      </c>
      <c r="O32" s="42">
        <v>2.51728088E8</v>
      </c>
      <c r="P32" s="64">
        <f t="shared" si="2"/>
        <v>496728088</v>
      </c>
      <c r="Q32" s="59">
        <v>0.0</v>
      </c>
      <c r="R32" s="59">
        <v>0.0</v>
      </c>
      <c r="S32" s="65">
        <f t="shared" si="3"/>
        <v>496728088</v>
      </c>
      <c r="T32" s="74" t="s">
        <v>53</v>
      </c>
      <c r="U32" s="74" t="s">
        <v>53</v>
      </c>
      <c r="V32" s="75">
        <v>44406.0</v>
      </c>
      <c r="W32" s="76">
        <v>45684.0</v>
      </c>
      <c r="X32" s="76">
        <v>45927.0</v>
      </c>
      <c r="Y32" s="61">
        <v>0.0</v>
      </c>
      <c r="Z32" s="69">
        <v>0.0</v>
      </c>
      <c r="AA32" s="76">
        <v>45927.0</v>
      </c>
      <c r="AB32" s="27">
        <f t="shared" si="4"/>
        <v>-255</v>
      </c>
      <c r="AC32" s="73">
        <v>665.0</v>
      </c>
      <c r="AD32" s="63">
        <v>0.0</v>
      </c>
      <c r="AE32" s="42">
        <v>2.45E8</v>
      </c>
      <c r="AF32" s="42">
        <v>2.45E8</v>
      </c>
      <c r="AG32" s="77">
        <f t="shared" si="5"/>
        <v>0.95</v>
      </c>
      <c r="AH32" s="77">
        <f t="shared" si="6"/>
        <v>1</v>
      </c>
      <c r="AI32" s="60" t="s">
        <v>220</v>
      </c>
      <c r="AJ32" s="38"/>
      <c r="AK32" s="31"/>
      <c r="AL32" s="38"/>
      <c r="AM32" s="39"/>
      <c r="AN32" s="39"/>
      <c r="AO32" s="39"/>
      <c r="AP32" s="34"/>
      <c r="AQ32" s="39"/>
      <c r="AR32" s="35"/>
      <c r="AS32" s="50"/>
      <c r="AT32" s="50"/>
      <c r="AU32" s="50"/>
    </row>
    <row r="33" ht="102.0" customHeight="1">
      <c r="A33" s="28">
        <v>2024.0</v>
      </c>
      <c r="B33" s="60" t="s">
        <v>221</v>
      </c>
      <c r="C33" s="15" t="s">
        <v>63</v>
      </c>
      <c r="D33" s="60" t="s">
        <v>64</v>
      </c>
      <c r="E33" s="37" t="s">
        <v>222</v>
      </c>
      <c r="F33" s="60" t="s">
        <v>223</v>
      </c>
      <c r="G33" s="60" t="s">
        <v>223</v>
      </c>
      <c r="H33" s="60" t="s">
        <v>116</v>
      </c>
      <c r="I33" s="60" t="s">
        <v>224</v>
      </c>
      <c r="J33" s="60" t="s">
        <v>225</v>
      </c>
      <c r="K33" s="61">
        <v>6.0</v>
      </c>
      <c r="L33" s="73">
        <v>1000.0</v>
      </c>
      <c r="M33" s="63"/>
      <c r="N33" s="42">
        <v>3.5E8</v>
      </c>
      <c r="O33" s="56">
        <v>4.0E8</v>
      </c>
      <c r="P33" s="64">
        <f t="shared" si="2"/>
        <v>750000000</v>
      </c>
      <c r="Q33" s="59">
        <v>0.0</v>
      </c>
      <c r="R33" s="59">
        <v>0.0</v>
      </c>
      <c r="S33" s="65">
        <f t="shared" si="3"/>
        <v>750000000</v>
      </c>
      <c r="T33" s="66" t="s">
        <v>53</v>
      </c>
      <c r="U33" s="66" t="s">
        <v>53</v>
      </c>
      <c r="V33" s="67">
        <v>43441.0</v>
      </c>
      <c r="W33" s="68">
        <v>45687.0</v>
      </c>
      <c r="X33" s="68">
        <v>45868.0</v>
      </c>
      <c r="Y33" s="61">
        <v>0.0</v>
      </c>
      <c r="Z33" s="69">
        <v>0.0</v>
      </c>
      <c r="AA33" s="68">
        <v>45868.0</v>
      </c>
      <c r="AB33" s="27">
        <f t="shared" si="4"/>
        <v>-314</v>
      </c>
      <c r="AC33" s="70">
        <v>1000.0</v>
      </c>
      <c r="AD33" s="63">
        <v>0.0</v>
      </c>
      <c r="AE33" s="56">
        <v>3.5E8</v>
      </c>
      <c r="AF33" s="56">
        <v>3.5E8</v>
      </c>
      <c r="AG33" s="71">
        <f t="shared" si="5"/>
        <v>1</v>
      </c>
      <c r="AH33" s="71">
        <f t="shared" si="6"/>
        <v>1</v>
      </c>
      <c r="AI33" s="60" t="s">
        <v>226</v>
      </c>
      <c r="AJ33" s="38"/>
      <c r="AK33" s="31"/>
      <c r="AL33" s="38"/>
      <c r="AM33" s="39"/>
      <c r="AN33" s="39"/>
      <c r="AO33" s="39"/>
      <c r="AP33" s="34"/>
      <c r="AQ33" s="39"/>
      <c r="AR33" s="38"/>
      <c r="AS33" s="36"/>
      <c r="AT33" s="50"/>
      <c r="AU33" s="50"/>
    </row>
    <row r="34" ht="102.0" customHeight="1">
      <c r="A34" s="28">
        <v>2024.0</v>
      </c>
      <c r="B34" s="60" t="s">
        <v>221</v>
      </c>
      <c r="C34" s="15" t="s">
        <v>63</v>
      </c>
      <c r="D34" s="60" t="s">
        <v>64</v>
      </c>
      <c r="E34" s="37" t="s">
        <v>227</v>
      </c>
      <c r="F34" s="60" t="s">
        <v>228</v>
      </c>
      <c r="G34" s="60" t="s">
        <v>228</v>
      </c>
      <c r="H34" s="60" t="s">
        <v>116</v>
      </c>
      <c r="I34" s="60" t="s">
        <v>229</v>
      </c>
      <c r="J34" s="60" t="s">
        <v>230</v>
      </c>
      <c r="K34" s="61">
        <v>6.0</v>
      </c>
      <c r="L34" s="73">
        <v>1000.0</v>
      </c>
      <c r="M34" s="63"/>
      <c r="N34" s="42">
        <v>3.5E8</v>
      </c>
      <c r="O34" s="56">
        <v>7.09358956E8</v>
      </c>
      <c r="P34" s="64">
        <f t="shared" si="2"/>
        <v>1059358956</v>
      </c>
      <c r="Q34" s="56">
        <v>0.0</v>
      </c>
      <c r="R34" s="59">
        <v>0.0</v>
      </c>
      <c r="S34" s="65">
        <f t="shared" si="3"/>
        <v>1059358956</v>
      </c>
      <c r="T34" s="66" t="s">
        <v>53</v>
      </c>
      <c r="U34" s="66" t="s">
        <v>53</v>
      </c>
      <c r="V34" s="67">
        <v>43441.0</v>
      </c>
      <c r="W34" s="68">
        <v>45693.0</v>
      </c>
      <c r="X34" s="68">
        <v>45874.0</v>
      </c>
      <c r="Y34" s="61">
        <v>0.0</v>
      </c>
      <c r="Z34" s="69">
        <v>0.0</v>
      </c>
      <c r="AA34" s="68">
        <v>45874.0</v>
      </c>
      <c r="AB34" s="27">
        <f t="shared" si="4"/>
        <v>-308</v>
      </c>
      <c r="AC34" s="70">
        <v>1000.0</v>
      </c>
      <c r="AD34" s="63">
        <v>0.0</v>
      </c>
      <c r="AE34" s="42">
        <v>3.5E8</v>
      </c>
      <c r="AF34" s="42">
        <v>3.5E8</v>
      </c>
      <c r="AG34" s="71">
        <f t="shared" si="5"/>
        <v>1</v>
      </c>
      <c r="AH34" s="71">
        <f t="shared" si="6"/>
        <v>1</v>
      </c>
      <c r="AI34" s="60" t="s">
        <v>231</v>
      </c>
      <c r="AJ34" s="38"/>
      <c r="AK34" s="31"/>
      <c r="AL34" s="38"/>
      <c r="AM34" s="39"/>
      <c r="AN34" s="39"/>
      <c r="AO34" s="39"/>
      <c r="AP34" s="34"/>
      <c r="AQ34" s="39"/>
      <c r="AR34" s="49"/>
      <c r="AS34" s="36"/>
      <c r="AT34" s="50"/>
      <c r="AU34" s="50"/>
    </row>
    <row r="35" ht="15.75" customHeight="1">
      <c r="A35" s="28">
        <v>2024.0</v>
      </c>
      <c r="B35" s="60" t="s">
        <v>232</v>
      </c>
      <c r="C35" s="15" t="s">
        <v>63</v>
      </c>
      <c r="D35" s="60" t="s">
        <v>64</v>
      </c>
      <c r="E35" s="37" t="s">
        <v>233</v>
      </c>
      <c r="F35" s="60" t="s">
        <v>234</v>
      </c>
      <c r="G35" s="60" t="s">
        <v>234</v>
      </c>
      <c r="H35" s="60" t="s">
        <v>67</v>
      </c>
      <c r="I35" s="60" t="s">
        <v>235</v>
      </c>
      <c r="J35" s="60" t="s">
        <v>236</v>
      </c>
      <c r="K35" s="61">
        <v>7.0</v>
      </c>
      <c r="L35" s="62">
        <v>1000.0</v>
      </c>
      <c r="M35" s="63">
        <v>0.0</v>
      </c>
      <c r="N35" s="42">
        <v>3.5E8</v>
      </c>
      <c r="O35" s="56">
        <v>4.42603306E8</v>
      </c>
      <c r="P35" s="64">
        <f t="shared" si="2"/>
        <v>792603306</v>
      </c>
      <c r="Q35" s="59">
        <v>0.0</v>
      </c>
      <c r="R35" s="59">
        <v>0.0</v>
      </c>
      <c r="S35" s="65">
        <f t="shared" si="3"/>
        <v>792603306</v>
      </c>
      <c r="T35" s="66" t="s">
        <v>213</v>
      </c>
      <c r="U35" s="66" t="s">
        <v>214</v>
      </c>
      <c r="V35" s="67">
        <v>43441.0</v>
      </c>
      <c r="W35" s="68">
        <v>45672.0</v>
      </c>
      <c r="X35" s="68">
        <v>45853.0</v>
      </c>
      <c r="Y35" s="69">
        <v>0.0</v>
      </c>
      <c r="Z35" s="69">
        <v>0.0</v>
      </c>
      <c r="AA35" s="68">
        <v>45853.0</v>
      </c>
      <c r="AB35" s="27">
        <f t="shared" si="4"/>
        <v>-329</v>
      </c>
      <c r="AC35" s="70">
        <v>0.0</v>
      </c>
      <c r="AD35" s="63">
        <v>0.0</v>
      </c>
      <c r="AE35" s="56">
        <v>0.0</v>
      </c>
      <c r="AF35" s="56">
        <v>3.49992727E8</v>
      </c>
      <c r="AG35" s="71">
        <f t="shared" si="5"/>
        <v>0</v>
      </c>
      <c r="AH35" s="79">
        <v>0.0</v>
      </c>
      <c r="AI35" s="60" t="s">
        <v>237</v>
      </c>
      <c r="AJ35" s="38"/>
      <c r="AK35" s="31"/>
      <c r="AL35" s="38"/>
      <c r="AM35" s="39"/>
      <c r="AN35" s="39"/>
      <c r="AO35" s="39"/>
      <c r="AP35" s="51"/>
      <c r="AQ35" s="39"/>
      <c r="AR35" s="39"/>
      <c r="AS35" s="36"/>
      <c r="AT35" s="50"/>
      <c r="AU35" s="50"/>
    </row>
    <row r="36" ht="85.5" customHeight="1">
      <c r="A36" s="28">
        <v>2024.0</v>
      </c>
      <c r="B36" s="60" t="s">
        <v>232</v>
      </c>
      <c r="C36" s="15" t="s">
        <v>63</v>
      </c>
      <c r="D36" s="60" t="s">
        <v>64</v>
      </c>
      <c r="E36" s="37" t="s">
        <v>238</v>
      </c>
      <c r="F36" s="60" t="s">
        <v>239</v>
      </c>
      <c r="G36" s="60" t="s">
        <v>239</v>
      </c>
      <c r="H36" s="60" t="s">
        <v>74</v>
      </c>
      <c r="I36" s="60" t="s">
        <v>240</v>
      </c>
      <c r="J36" s="60" t="s">
        <v>241</v>
      </c>
      <c r="K36" s="61">
        <v>8.0</v>
      </c>
      <c r="L36" s="73">
        <v>1000.0</v>
      </c>
      <c r="M36" s="63"/>
      <c r="N36" s="42">
        <v>3.5E8</v>
      </c>
      <c r="O36" s="56">
        <v>6.64782E8</v>
      </c>
      <c r="P36" s="64">
        <f t="shared" si="2"/>
        <v>1014782000</v>
      </c>
      <c r="Q36" s="56">
        <v>0.0</v>
      </c>
      <c r="R36" s="59">
        <v>0.0</v>
      </c>
      <c r="S36" s="65">
        <f t="shared" si="3"/>
        <v>1014782000</v>
      </c>
      <c r="T36" s="66" t="s">
        <v>53</v>
      </c>
      <c r="U36" s="66" t="s">
        <v>53</v>
      </c>
      <c r="V36" s="67">
        <v>43441.0</v>
      </c>
      <c r="W36" s="68">
        <v>45666.0</v>
      </c>
      <c r="X36" s="68">
        <v>45909.0</v>
      </c>
      <c r="Y36" s="61">
        <v>0.0</v>
      </c>
      <c r="Z36" s="69">
        <v>0.0</v>
      </c>
      <c r="AA36" s="68">
        <v>45909.0</v>
      </c>
      <c r="AB36" s="27">
        <f t="shared" si="4"/>
        <v>-273</v>
      </c>
      <c r="AC36" s="70">
        <v>640.0</v>
      </c>
      <c r="AD36" s="63">
        <v>0.0</v>
      </c>
      <c r="AE36" s="42">
        <v>3.5E8</v>
      </c>
      <c r="AF36" s="42">
        <v>2.24E8</v>
      </c>
      <c r="AG36" s="71">
        <f t="shared" si="5"/>
        <v>0.64</v>
      </c>
      <c r="AH36" s="71">
        <f t="shared" ref="AH36:AH148" si="7">AF36/AE36</f>
        <v>0.64</v>
      </c>
      <c r="AI36" s="60" t="s">
        <v>242</v>
      </c>
      <c r="AJ36" s="38"/>
      <c r="AK36" s="31"/>
      <c r="AL36" s="38"/>
      <c r="AM36" s="39"/>
      <c r="AN36" s="39"/>
      <c r="AO36" s="39"/>
      <c r="AP36" s="54"/>
      <c r="AQ36" s="39"/>
      <c r="AR36" s="38"/>
      <c r="AS36" s="36"/>
      <c r="AT36" s="50"/>
      <c r="AU36" s="50"/>
    </row>
    <row r="37" ht="85.5" customHeight="1">
      <c r="A37" s="28">
        <v>2024.0</v>
      </c>
      <c r="B37" s="60" t="s">
        <v>232</v>
      </c>
      <c r="C37" s="40" t="s">
        <v>63</v>
      </c>
      <c r="D37" s="72" t="s">
        <v>64</v>
      </c>
      <c r="E37" s="37" t="s">
        <v>243</v>
      </c>
      <c r="F37" s="60" t="s">
        <v>244</v>
      </c>
      <c r="G37" s="60" t="s">
        <v>244</v>
      </c>
      <c r="H37" s="60" t="s">
        <v>74</v>
      </c>
      <c r="I37" s="60" t="s">
        <v>245</v>
      </c>
      <c r="J37" s="60" t="s">
        <v>246</v>
      </c>
      <c r="K37" s="60">
        <v>8.0</v>
      </c>
      <c r="L37" s="73">
        <v>1000.0</v>
      </c>
      <c r="M37" s="63">
        <v>0.0</v>
      </c>
      <c r="N37" s="42">
        <v>3.5E8</v>
      </c>
      <c r="O37" s="42">
        <v>2.111260818E9</v>
      </c>
      <c r="P37" s="64">
        <f t="shared" si="2"/>
        <v>2461260818</v>
      </c>
      <c r="Q37" s="59">
        <v>0.0</v>
      </c>
      <c r="R37" s="59">
        <v>0.0</v>
      </c>
      <c r="S37" s="65">
        <f t="shared" si="3"/>
        <v>2461260818</v>
      </c>
      <c r="T37" s="74" t="s">
        <v>53</v>
      </c>
      <c r="U37" s="74" t="s">
        <v>53</v>
      </c>
      <c r="V37" s="75">
        <v>44406.0</v>
      </c>
      <c r="W37" s="76">
        <v>45671.0</v>
      </c>
      <c r="X37" s="76">
        <v>45914.0</v>
      </c>
      <c r="Y37" s="61">
        <v>0.0</v>
      </c>
      <c r="Z37" s="69">
        <v>0.0</v>
      </c>
      <c r="AA37" s="76">
        <v>45914.0</v>
      </c>
      <c r="AB37" s="27">
        <f t="shared" si="4"/>
        <v>-268</v>
      </c>
      <c r="AC37" s="73">
        <v>1000.0</v>
      </c>
      <c r="AD37" s="63">
        <v>0.0</v>
      </c>
      <c r="AE37" s="42">
        <v>3.5E8</v>
      </c>
      <c r="AF37" s="42">
        <v>3.5E8</v>
      </c>
      <c r="AG37" s="77">
        <f t="shared" si="5"/>
        <v>1</v>
      </c>
      <c r="AH37" s="77">
        <f t="shared" si="7"/>
        <v>1</v>
      </c>
      <c r="AI37" s="60" t="s">
        <v>247</v>
      </c>
      <c r="AJ37" s="38"/>
      <c r="AK37" s="31"/>
      <c r="AL37" s="38"/>
      <c r="AM37" s="39"/>
      <c r="AN37" s="39"/>
      <c r="AO37" s="39"/>
      <c r="AP37" s="34"/>
      <c r="AQ37" s="39"/>
      <c r="AR37" s="38"/>
      <c r="AS37" s="50"/>
      <c r="AT37" s="50"/>
      <c r="AU37" s="50"/>
    </row>
    <row r="38" ht="102.0" customHeight="1">
      <c r="A38" s="28">
        <v>2024.0</v>
      </c>
      <c r="B38" s="60" t="s">
        <v>232</v>
      </c>
      <c r="C38" s="40" t="s">
        <v>63</v>
      </c>
      <c r="D38" s="72" t="s">
        <v>64</v>
      </c>
      <c r="E38" s="37" t="s">
        <v>248</v>
      </c>
      <c r="F38" s="60" t="s">
        <v>249</v>
      </c>
      <c r="G38" s="60" t="s">
        <v>249</v>
      </c>
      <c r="H38" s="60" t="s">
        <v>67</v>
      </c>
      <c r="I38" s="60" t="s">
        <v>250</v>
      </c>
      <c r="J38" s="60" t="s">
        <v>251</v>
      </c>
      <c r="K38" s="60">
        <v>8.0</v>
      </c>
      <c r="L38" s="73">
        <v>1055.0</v>
      </c>
      <c r="M38" s="63">
        <v>0.0</v>
      </c>
      <c r="N38" s="42">
        <v>3.5E8</v>
      </c>
      <c r="O38" s="42">
        <v>6.06521273E8</v>
      </c>
      <c r="P38" s="64">
        <f t="shared" si="2"/>
        <v>956521273</v>
      </c>
      <c r="Q38" s="59">
        <v>0.0</v>
      </c>
      <c r="R38" s="59">
        <v>0.0</v>
      </c>
      <c r="S38" s="65">
        <f t="shared" si="3"/>
        <v>956521273</v>
      </c>
      <c r="T38" s="74" t="s">
        <v>53</v>
      </c>
      <c r="U38" s="74" t="s">
        <v>53</v>
      </c>
      <c r="V38" s="75">
        <v>44406.0</v>
      </c>
      <c r="W38" s="76">
        <v>45679.0</v>
      </c>
      <c r="X38" s="76">
        <v>45922.0</v>
      </c>
      <c r="Y38" s="61">
        <v>0.0</v>
      </c>
      <c r="Z38" s="69">
        <v>0.0</v>
      </c>
      <c r="AA38" s="76">
        <v>45922.0</v>
      </c>
      <c r="AB38" s="27">
        <f t="shared" si="4"/>
        <v>-260</v>
      </c>
      <c r="AC38" s="73">
        <v>1055.0</v>
      </c>
      <c r="AD38" s="63">
        <v>0.0</v>
      </c>
      <c r="AE38" s="42">
        <v>3.5E8</v>
      </c>
      <c r="AF38" s="42">
        <v>3.5E8</v>
      </c>
      <c r="AG38" s="77">
        <f t="shared" si="5"/>
        <v>1</v>
      </c>
      <c r="AH38" s="77">
        <f t="shared" si="7"/>
        <v>1</v>
      </c>
      <c r="AI38" s="60" t="s">
        <v>252</v>
      </c>
      <c r="AJ38" s="38"/>
      <c r="AK38" s="31"/>
      <c r="AL38" s="38"/>
      <c r="AM38" s="39"/>
      <c r="AN38" s="39"/>
      <c r="AO38" s="39"/>
      <c r="AP38" s="54"/>
      <c r="AQ38" s="39"/>
      <c r="AR38" s="39"/>
      <c r="AS38" s="50"/>
      <c r="AT38" s="50"/>
      <c r="AU38" s="50"/>
    </row>
    <row r="39" ht="102.0" customHeight="1">
      <c r="A39" s="28">
        <v>2024.0</v>
      </c>
      <c r="B39" s="60" t="s">
        <v>253</v>
      </c>
      <c r="C39" s="15" t="s">
        <v>63</v>
      </c>
      <c r="D39" s="60" t="s">
        <v>64</v>
      </c>
      <c r="E39" s="37" t="s">
        <v>254</v>
      </c>
      <c r="F39" s="60" t="s">
        <v>255</v>
      </c>
      <c r="G39" s="60" t="s">
        <v>255</v>
      </c>
      <c r="H39" s="60" t="s">
        <v>109</v>
      </c>
      <c r="I39" s="60" t="s">
        <v>256</v>
      </c>
      <c r="J39" s="60" t="s">
        <v>257</v>
      </c>
      <c r="K39" s="61">
        <v>5.0</v>
      </c>
      <c r="L39" s="73">
        <v>1000.0</v>
      </c>
      <c r="M39" s="63"/>
      <c r="N39" s="42">
        <v>3.5E8</v>
      </c>
      <c r="O39" s="56">
        <v>1.72E8</v>
      </c>
      <c r="P39" s="64">
        <f t="shared" si="2"/>
        <v>522000000</v>
      </c>
      <c r="Q39" s="59">
        <v>0.0</v>
      </c>
      <c r="R39" s="59">
        <v>0.0</v>
      </c>
      <c r="S39" s="65">
        <f t="shared" si="3"/>
        <v>522000000</v>
      </c>
      <c r="T39" s="66" t="s">
        <v>53</v>
      </c>
      <c r="U39" s="66" t="s">
        <v>53</v>
      </c>
      <c r="V39" s="67">
        <v>43441.0</v>
      </c>
      <c r="W39" s="68">
        <v>45672.0</v>
      </c>
      <c r="X39" s="68">
        <v>45915.0</v>
      </c>
      <c r="Y39" s="61">
        <v>0.0</v>
      </c>
      <c r="Z39" s="69">
        <v>0.0</v>
      </c>
      <c r="AA39" s="68">
        <v>45915.0</v>
      </c>
      <c r="AB39" s="27">
        <f t="shared" si="4"/>
        <v>-267</v>
      </c>
      <c r="AC39" s="70">
        <v>1000.0</v>
      </c>
      <c r="AD39" s="63">
        <v>0.0</v>
      </c>
      <c r="AE39" s="56">
        <v>3.5E8</v>
      </c>
      <c r="AF39" s="56">
        <v>3.5E8</v>
      </c>
      <c r="AG39" s="71">
        <f t="shared" si="5"/>
        <v>1</v>
      </c>
      <c r="AH39" s="71">
        <f t="shared" si="7"/>
        <v>1</v>
      </c>
      <c r="AI39" s="60" t="s">
        <v>258</v>
      </c>
      <c r="AJ39" s="38"/>
      <c r="AK39" s="31"/>
      <c r="AL39" s="38"/>
      <c r="AM39" s="39"/>
      <c r="AN39" s="39"/>
      <c r="AO39" s="39"/>
      <c r="AP39" s="51"/>
      <c r="AQ39" s="39"/>
      <c r="AR39" s="39"/>
      <c r="AS39" s="36"/>
      <c r="AT39" s="50"/>
      <c r="AU39" s="50"/>
    </row>
    <row r="40" ht="102.0" customHeight="1">
      <c r="A40" s="28">
        <v>2024.0</v>
      </c>
      <c r="B40" s="60" t="s">
        <v>253</v>
      </c>
      <c r="C40" s="15" t="s">
        <v>63</v>
      </c>
      <c r="D40" s="60" t="s">
        <v>64</v>
      </c>
      <c r="E40" s="37" t="s">
        <v>259</v>
      </c>
      <c r="F40" s="60" t="s">
        <v>108</v>
      </c>
      <c r="G40" s="60" t="s">
        <v>108</v>
      </c>
      <c r="H40" s="60" t="s">
        <v>109</v>
      </c>
      <c r="I40" s="60" t="s">
        <v>260</v>
      </c>
      <c r="J40" s="60" t="s">
        <v>261</v>
      </c>
      <c r="K40" s="61">
        <v>4.0</v>
      </c>
      <c r="L40" s="73">
        <v>500.0</v>
      </c>
      <c r="M40" s="63"/>
      <c r="N40" s="42">
        <v>1.74996617E8</v>
      </c>
      <c r="O40" s="56">
        <v>3.96421206E8</v>
      </c>
      <c r="P40" s="64">
        <f t="shared" si="2"/>
        <v>571417823</v>
      </c>
      <c r="Q40" s="59">
        <v>0.0</v>
      </c>
      <c r="R40" s="59">
        <v>0.0</v>
      </c>
      <c r="S40" s="65">
        <f t="shared" si="3"/>
        <v>571417823</v>
      </c>
      <c r="T40" s="66" t="s">
        <v>53</v>
      </c>
      <c r="U40" s="66" t="s">
        <v>53</v>
      </c>
      <c r="V40" s="67">
        <v>43441.0</v>
      </c>
      <c r="W40" s="68">
        <v>45505.0</v>
      </c>
      <c r="X40" s="68">
        <v>45656.0</v>
      </c>
      <c r="Y40" s="61">
        <v>0.0</v>
      </c>
      <c r="Z40" s="69">
        <v>0.0</v>
      </c>
      <c r="AA40" s="68">
        <v>45656.0</v>
      </c>
      <c r="AB40" s="27">
        <f t="shared" si="4"/>
        <v>-526</v>
      </c>
      <c r="AC40" s="70">
        <v>500.0</v>
      </c>
      <c r="AD40" s="63">
        <v>0.0</v>
      </c>
      <c r="AE40" s="56">
        <v>1.74996617E8</v>
      </c>
      <c r="AF40" s="56">
        <v>1.74996617E8</v>
      </c>
      <c r="AG40" s="71">
        <f t="shared" si="5"/>
        <v>1</v>
      </c>
      <c r="AH40" s="71">
        <f t="shared" si="7"/>
        <v>1</v>
      </c>
      <c r="AI40" s="60" t="s">
        <v>188</v>
      </c>
      <c r="AJ40" s="38"/>
      <c r="AK40" s="31"/>
      <c r="AL40" s="38"/>
      <c r="AM40" s="39"/>
      <c r="AN40" s="39"/>
      <c r="AO40" s="39"/>
      <c r="AP40" s="54"/>
      <c r="AQ40" s="39"/>
      <c r="AR40" s="38"/>
      <c r="AS40" s="36"/>
      <c r="AT40" s="50"/>
      <c r="AU40" s="50"/>
    </row>
    <row r="41" ht="102.0" customHeight="1">
      <c r="A41" s="28">
        <v>2024.0</v>
      </c>
      <c r="B41" s="60" t="s">
        <v>253</v>
      </c>
      <c r="C41" s="15" t="s">
        <v>63</v>
      </c>
      <c r="D41" s="60" t="s">
        <v>64</v>
      </c>
      <c r="E41" s="37" t="s">
        <v>262</v>
      </c>
      <c r="F41" s="60" t="s">
        <v>263</v>
      </c>
      <c r="G41" s="60" t="s">
        <v>263</v>
      </c>
      <c r="H41" s="60" t="s">
        <v>109</v>
      </c>
      <c r="I41" s="60" t="s">
        <v>240</v>
      </c>
      <c r="J41" s="60" t="s">
        <v>264</v>
      </c>
      <c r="K41" s="61">
        <v>8.0</v>
      </c>
      <c r="L41" s="73">
        <v>1500.0</v>
      </c>
      <c r="M41" s="63"/>
      <c r="N41" s="42">
        <v>5.25E8</v>
      </c>
      <c r="O41" s="56">
        <v>8.72615688E8</v>
      </c>
      <c r="P41" s="64">
        <f t="shared" si="2"/>
        <v>1397615688</v>
      </c>
      <c r="Q41" s="56">
        <v>0.0</v>
      </c>
      <c r="R41" s="59">
        <v>0.0</v>
      </c>
      <c r="S41" s="65">
        <f t="shared" si="3"/>
        <v>1397615688</v>
      </c>
      <c r="T41" s="66" t="s">
        <v>53</v>
      </c>
      <c r="U41" s="66" t="s">
        <v>53</v>
      </c>
      <c r="V41" s="67">
        <v>43441.0</v>
      </c>
      <c r="W41" s="68">
        <v>45672.0</v>
      </c>
      <c r="X41" s="68">
        <v>45915.0</v>
      </c>
      <c r="Y41" s="61">
        <v>0.0</v>
      </c>
      <c r="Z41" s="69">
        <v>0.0</v>
      </c>
      <c r="AA41" s="68">
        <v>45909.0</v>
      </c>
      <c r="AB41" s="27">
        <f t="shared" si="4"/>
        <v>-273</v>
      </c>
      <c r="AC41" s="70">
        <v>1500.0</v>
      </c>
      <c r="AD41" s="63">
        <v>0.0</v>
      </c>
      <c r="AE41" s="42">
        <v>5.25E8</v>
      </c>
      <c r="AF41" s="42">
        <v>5.25E8</v>
      </c>
      <c r="AG41" s="71">
        <f t="shared" si="5"/>
        <v>1</v>
      </c>
      <c r="AH41" s="71">
        <f t="shared" si="7"/>
        <v>1</v>
      </c>
      <c r="AI41" s="60" t="s">
        <v>265</v>
      </c>
      <c r="AJ41" s="38"/>
      <c r="AK41" s="31"/>
      <c r="AL41" s="38"/>
      <c r="AM41" s="39"/>
      <c r="AN41" s="39"/>
      <c r="AO41" s="39"/>
      <c r="AP41" s="34"/>
      <c r="AQ41" s="39"/>
      <c r="AR41" s="35"/>
      <c r="AS41" s="36"/>
      <c r="AT41" s="50"/>
      <c r="AU41" s="50"/>
    </row>
    <row r="42" ht="102.0" customHeight="1">
      <c r="A42" s="28">
        <v>2024.0</v>
      </c>
      <c r="B42" s="60" t="s">
        <v>253</v>
      </c>
      <c r="C42" s="15" t="s">
        <v>63</v>
      </c>
      <c r="D42" s="60" t="s">
        <v>64</v>
      </c>
      <c r="E42" s="37" t="s">
        <v>266</v>
      </c>
      <c r="F42" s="60" t="s">
        <v>267</v>
      </c>
      <c r="G42" s="60" t="s">
        <v>267</v>
      </c>
      <c r="H42" s="60" t="s">
        <v>109</v>
      </c>
      <c r="I42" s="60" t="s">
        <v>268</v>
      </c>
      <c r="J42" s="60" t="s">
        <v>269</v>
      </c>
      <c r="K42" s="61">
        <v>8.0</v>
      </c>
      <c r="L42" s="73">
        <v>1000.0</v>
      </c>
      <c r="M42" s="63"/>
      <c r="N42" s="42">
        <v>3.5E8</v>
      </c>
      <c r="O42" s="56">
        <v>1.195924086E9</v>
      </c>
      <c r="P42" s="64">
        <f t="shared" si="2"/>
        <v>1545924086</v>
      </c>
      <c r="Q42" s="56">
        <v>0.0</v>
      </c>
      <c r="R42" s="59">
        <v>0.0</v>
      </c>
      <c r="S42" s="65">
        <f t="shared" si="3"/>
        <v>1545924086</v>
      </c>
      <c r="T42" s="66" t="s">
        <v>53</v>
      </c>
      <c r="U42" s="66" t="s">
        <v>53</v>
      </c>
      <c r="V42" s="67">
        <v>43441.0</v>
      </c>
      <c r="W42" s="68">
        <v>45693.0</v>
      </c>
      <c r="X42" s="68">
        <v>45935.0</v>
      </c>
      <c r="Y42" s="61">
        <v>0.0</v>
      </c>
      <c r="Z42" s="69">
        <v>0.0</v>
      </c>
      <c r="AA42" s="68">
        <v>45935.0</v>
      </c>
      <c r="AB42" s="27">
        <f t="shared" si="4"/>
        <v>-247</v>
      </c>
      <c r="AC42" s="70">
        <v>1000.0</v>
      </c>
      <c r="AD42" s="63">
        <v>0.0</v>
      </c>
      <c r="AE42" s="42">
        <v>3.5E8</v>
      </c>
      <c r="AF42" s="42">
        <v>3.5E8</v>
      </c>
      <c r="AG42" s="71">
        <f t="shared" si="5"/>
        <v>1</v>
      </c>
      <c r="AH42" s="71">
        <f t="shared" si="7"/>
        <v>1</v>
      </c>
      <c r="AI42" s="60" t="s">
        <v>270</v>
      </c>
      <c r="AJ42" s="38"/>
      <c r="AK42" s="31"/>
      <c r="AL42" s="38"/>
      <c r="AM42" s="39"/>
      <c r="AN42" s="39"/>
      <c r="AO42" s="39"/>
      <c r="AP42" s="34"/>
      <c r="AQ42" s="39"/>
      <c r="AR42" s="49"/>
      <c r="AS42" s="36"/>
      <c r="AT42" s="50"/>
      <c r="AU42" s="50"/>
    </row>
    <row r="43" ht="102.0" customHeight="1">
      <c r="A43" s="18">
        <v>2024.0</v>
      </c>
      <c r="B43" s="60" t="s">
        <v>253</v>
      </c>
      <c r="C43" s="40" t="s">
        <v>63</v>
      </c>
      <c r="D43" s="72" t="s">
        <v>64</v>
      </c>
      <c r="E43" s="37" t="s">
        <v>271</v>
      </c>
      <c r="F43" s="60" t="s">
        <v>272</v>
      </c>
      <c r="G43" s="60" t="s">
        <v>272</v>
      </c>
      <c r="H43" s="60" t="s">
        <v>109</v>
      </c>
      <c r="I43" s="60" t="s">
        <v>273</v>
      </c>
      <c r="J43" s="60" t="s">
        <v>274</v>
      </c>
      <c r="K43" s="60">
        <v>8.0</v>
      </c>
      <c r="L43" s="73">
        <v>530.0</v>
      </c>
      <c r="M43" s="63">
        <v>0.0</v>
      </c>
      <c r="N43" s="42">
        <v>1.855E8</v>
      </c>
      <c r="O43" s="42">
        <v>4.52537793E8</v>
      </c>
      <c r="P43" s="64">
        <f t="shared" si="2"/>
        <v>638037793</v>
      </c>
      <c r="Q43" s="59">
        <v>0.0</v>
      </c>
      <c r="R43" s="59">
        <v>0.0</v>
      </c>
      <c r="S43" s="65">
        <f t="shared" si="3"/>
        <v>638037793</v>
      </c>
      <c r="T43" s="74" t="s">
        <v>53</v>
      </c>
      <c r="U43" s="74" t="s">
        <v>53</v>
      </c>
      <c r="V43" s="75">
        <v>44406.0</v>
      </c>
      <c r="W43" s="76">
        <v>45686.0</v>
      </c>
      <c r="X43" s="76">
        <v>45929.0</v>
      </c>
      <c r="Y43" s="61">
        <v>0.0</v>
      </c>
      <c r="Z43" s="69">
        <v>0.0</v>
      </c>
      <c r="AA43" s="76">
        <v>45929.0</v>
      </c>
      <c r="AB43" s="27">
        <f t="shared" si="4"/>
        <v>-253</v>
      </c>
      <c r="AC43" s="73">
        <v>530.0</v>
      </c>
      <c r="AD43" s="63">
        <v>0.0</v>
      </c>
      <c r="AE43" s="42">
        <v>1.855E8</v>
      </c>
      <c r="AF43" s="42">
        <v>1.855E8</v>
      </c>
      <c r="AG43" s="77">
        <f t="shared" si="5"/>
        <v>1</v>
      </c>
      <c r="AH43" s="77">
        <f t="shared" si="7"/>
        <v>1</v>
      </c>
      <c r="AI43" s="60" t="s">
        <v>275</v>
      </c>
      <c r="AJ43" s="38"/>
      <c r="AK43" s="31"/>
      <c r="AL43" s="38"/>
      <c r="AM43" s="39"/>
      <c r="AN43" s="39"/>
      <c r="AO43" s="39"/>
      <c r="AP43" s="55"/>
      <c r="AQ43" s="39"/>
      <c r="AR43" s="39"/>
      <c r="AS43" s="50"/>
      <c r="AT43" s="50"/>
      <c r="AU43" s="50"/>
    </row>
    <row r="44" ht="102.0" customHeight="1">
      <c r="A44" s="18">
        <v>2024.0</v>
      </c>
      <c r="B44" s="60" t="s">
        <v>253</v>
      </c>
      <c r="C44" s="40" t="s">
        <v>63</v>
      </c>
      <c r="D44" s="72" t="s">
        <v>64</v>
      </c>
      <c r="E44" s="37" t="s">
        <v>276</v>
      </c>
      <c r="F44" s="60" t="s">
        <v>277</v>
      </c>
      <c r="G44" s="60" t="s">
        <v>277</v>
      </c>
      <c r="H44" s="60" t="s">
        <v>109</v>
      </c>
      <c r="I44" s="60" t="s">
        <v>278</v>
      </c>
      <c r="J44" s="60" t="s">
        <v>279</v>
      </c>
      <c r="K44" s="60">
        <v>5.0</v>
      </c>
      <c r="L44" s="73">
        <v>300.0</v>
      </c>
      <c r="M44" s="63">
        <v>0.0</v>
      </c>
      <c r="N44" s="42">
        <v>9.9279113E7</v>
      </c>
      <c r="O44" s="42">
        <v>9.3947684E7</v>
      </c>
      <c r="P44" s="64">
        <f t="shared" si="2"/>
        <v>193226797</v>
      </c>
      <c r="Q44" s="59">
        <v>0.0</v>
      </c>
      <c r="R44" s="59">
        <v>0.0</v>
      </c>
      <c r="S44" s="65">
        <f t="shared" si="3"/>
        <v>193226797</v>
      </c>
      <c r="T44" s="74" t="s">
        <v>53</v>
      </c>
      <c r="U44" s="78" t="s">
        <v>53</v>
      </c>
      <c r="V44" s="75">
        <v>44406.0</v>
      </c>
      <c r="W44" s="76">
        <v>45492.0</v>
      </c>
      <c r="X44" s="76">
        <v>45656.0</v>
      </c>
      <c r="Y44" s="61">
        <v>0.0</v>
      </c>
      <c r="Z44" s="69">
        <v>0.0</v>
      </c>
      <c r="AA44" s="76">
        <v>45656.0</v>
      </c>
      <c r="AB44" s="27">
        <f t="shared" si="4"/>
        <v>-526</v>
      </c>
      <c r="AC44" s="73">
        <v>300.0</v>
      </c>
      <c r="AD44" s="63">
        <v>0.0</v>
      </c>
      <c r="AE44" s="42">
        <v>9.9279113E7</v>
      </c>
      <c r="AF44" s="42">
        <v>9.9279113E7</v>
      </c>
      <c r="AG44" s="77">
        <f t="shared" si="5"/>
        <v>1</v>
      </c>
      <c r="AH44" s="77">
        <f t="shared" si="7"/>
        <v>1</v>
      </c>
      <c r="AI44" s="60" t="s">
        <v>280</v>
      </c>
      <c r="AJ44" s="38"/>
      <c r="AK44" s="31"/>
      <c r="AL44" s="38"/>
      <c r="AM44" s="39"/>
      <c r="AN44" s="39"/>
      <c r="AO44" s="39"/>
      <c r="AP44" s="34"/>
      <c r="AQ44" s="39"/>
      <c r="AR44" s="35"/>
      <c r="AS44" s="50"/>
      <c r="AT44" s="50"/>
      <c r="AU44" s="50"/>
    </row>
    <row r="45" ht="102.0" customHeight="1">
      <c r="A45" s="28">
        <v>2024.0</v>
      </c>
      <c r="B45" s="60" t="s">
        <v>253</v>
      </c>
      <c r="C45" s="40" t="s">
        <v>63</v>
      </c>
      <c r="D45" s="72" t="s">
        <v>64</v>
      </c>
      <c r="E45" s="37" t="s">
        <v>281</v>
      </c>
      <c r="F45" s="60" t="s">
        <v>282</v>
      </c>
      <c r="G45" s="60" t="s">
        <v>282</v>
      </c>
      <c r="H45" s="60" t="s">
        <v>109</v>
      </c>
      <c r="I45" s="60" t="s">
        <v>283</v>
      </c>
      <c r="J45" s="60" t="s">
        <v>284</v>
      </c>
      <c r="K45" s="60">
        <v>8.0</v>
      </c>
      <c r="L45" s="73">
        <v>1000.0</v>
      </c>
      <c r="M45" s="63">
        <v>0.0</v>
      </c>
      <c r="N45" s="42">
        <v>3.5E8</v>
      </c>
      <c r="O45" s="42">
        <v>5.97465E8</v>
      </c>
      <c r="P45" s="64">
        <f t="shared" si="2"/>
        <v>947465000</v>
      </c>
      <c r="Q45" s="59">
        <v>0.0</v>
      </c>
      <c r="R45" s="59">
        <v>0.0</v>
      </c>
      <c r="S45" s="65">
        <f t="shared" si="3"/>
        <v>947465000</v>
      </c>
      <c r="T45" s="74" t="s">
        <v>53</v>
      </c>
      <c r="U45" s="74" t="s">
        <v>53</v>
      </c>
      <c r="V45" s="75">
        <v>44406.0</v>
      </c>
      <c r="W45" s="76">
        <v>45686.0</v>
      </c>
      <c r="X45" s="76">
        <v>45929.0</v>
      </c>
      <c r="Y45" s="61">
        <v>0.0</v>
      </c>
      <c r="Z45" s="69">
        <v>0.0</v>
      </c>
      <c r="AA45" s="76">
        <v>45929.0</v>
      </c>
      <c r="AB45" s="27">
        <f t="shared" si="4"/>
        <v>-253</v>
      </c>
      <c r="AC45" s="73">
        <v>1000.0</v>
      </c>
      <c r="AD45" s="63">
        <v>0.0</v>
      </c>
      <c r="AE45" s="42">
        <v>3.5E8</v>
      </c>
      <c r="AF45" s="42">
        <v>3.5E8</v>
      </c>
      <c r="AG45" s="77">
        <f t="shared" si="5"/>
        <v>1</v>
      </c>
      <c r="AH45" s="77">
        <f t="shared" si="7"/>
        <v>1</v>
      </c>
      <c r="AI45" s="60" t="s">
        <v>285</v>
      </c>
      <c r="AJ45" s="38"/>
      <c r="AK45" s="31"/>
      <c r="AL45" s="38"/>
      <c r="AM45" s="39"/>
      <c r="AN45" s="39"/>
      <c r="AO45" s="39"/>
      <c r="AP45" s="34"/>
      <c r="AQ45" s="39"/>
      <c r="AR45" s="35"/>
      <c r="AS45" s="50"/>
      <c r="AT45" s="50"/>
      <c r="AU45" s="50"/>
    </row>
    <row r="46" ht="102.0" customHeight="1">
      <c r="A46" s="28">
        <v>2024.0</v>
      </c>
      <c r="B46" s="60" t="s">
        <v>253</v>
      </c>
      <c r="C46" s="40" t="s">
        <v>63</v>
      </c>
      <c r="D46" s="72" t="s">
        <v>64</v>
      </c>
      <c r="E46" s="37" t="s">
        <v>286</v>
      </c>
      <c r="F46" s="60" t="s">
        <v>287</v>
      </c>
      <c r="G46" s="60" t="s">
        <v>287</v>
      </c>
      <c r="H46" s="60" t="s">
        <v>109</v>
      </c>
      <c r="I46" s="60" t="s">
        <v>288</v>
      </c>
      <c r="J46" s="60" t="s">
        <v>289</v>
      </c>
      <c r="K46" s="60">
        <v>8.0</v>
      </c>
      <c r="L46" s="73">
        <v>1000.0</v>
      </c>
      <c r="M46" s="63">
        <v>0.0</v>
      </c>
      <c r="N46" s="42">
        <v>3.5E8</v>
      </c>
      <c r="O46" s="42">
        <v>3.0E8</v>
      </c>
      <c r="P46" s="64">
        <f t="shared" si="2"/>
        <v>650000000</v>
      </c>
      <c r="Q46" s="59">
        <v>0.0</v>
      </c>
      <c r="R46" s="59">
        <v>0.0</v>
      </c>
      <c r="S46" s="65">
        <f t="shared" si="3"/>
        <v>650000000</v>
      </c>
      <c r="T46" s="74" t="s">
        <v>53</v>
      </c>
      <c r="U46" s="74" t="s">
        <v>53</v>
      </c>
      <c r="V46" s="75">
        <v>44406.0</v>
      </c>
      <c r="W46" s="76">
        <v>45741.0</v>
      </c>
      <c r="X46" s="76">
        <v>45741.0</v>
      </c>
      <c r="Y46" s="61">
        <v>0.0</v>
      </c>
      <c r="Z46" s="69">
        <v>0.0</v>
      </c>
      <c r="AA46" s="76">
        <v>45741.0</v>
      </c>
      <c r="AB46" s="27">
        <f t="shared" si="4"/>
        <v>-441</v>
      </c>
      <c r="AC46" s="73">
        <v>1000.0</v>
      </c>
      <c r="AD46" s="63">
        <v>0.0</v>
      </c>
      <c r="AE46" s="42">
        <v>3.5E8</v>
      </c>
      <c r="AF46" s="42">
        <v>3.5E8</v>
      </c>
      <c r="AG46" s="77">
        <f t="shared" si="5"/>
        <v>1</v>
      </c>
      <c r="AH46" s="77">
        <f t="shared" si="7"/>
        <v>1</v>
      </c>
      <c r="AI46" s="60" t="s">
        <v>290</v>
      </c>
      <c r="AJ46" s="38"/>
      <c r="AK46" s="31"/>
      <c r="AL46" s="38"/>
      <c r="AM46" s="39"/>
      <c r="AN46" s="39"/>
      <c r="AO46" s="39"/>
      <c r="AP46" s="34"/>
      <c r="AQ46" s="39"/>
      <c r="AR46" s="49"/>
      <c r="AS46" s="50"/>
      <c r="AT46" s="52" t="s">
        <v>90</v>
      </c>
      <c r="AU46" s="50"/>
    </row>
    <row r="47" ht="102.0" customHeight="1">
      <c r="A47" s="28">
        <v>2024.0</v>
      </c>
      <c r="B47" s="60" t="s">
        <v>253</v>
      </c>
      <c r="C47" s="40" t="s">
        <v>63</v>
      </c>
      <c r="D47" s="72" t="s">
        <v>64</v>
      </c>
      <c r="E47" s="37" t="s">
        <v>291</v>
      </c>
      <c r="F47" s="60" t="s">
        <v>287</v>
      </c>
      <c r="G47" s="60" t="s">
        <v>287</v>
      </c>
      <c r="H47" s="60" t="s">
        <v>109</v>
      </c>
      <c r="I47" s="60" t="s">
        <v>292</v>
      </c>
      <c r="J47" s="60" t="s">
        <v>293</v>
      </c>
      <c r="K47" s="60">
        <v>5.0</v>
      </c>
      <c r="L47" s="73">
        <v>1000.0</v>
      </c>
      <c r="M47" s="63">
        <v>0.0</v>
      </c>
      <c r="N47" s="42">
        <v>3.49986389E8</v>
      </c>
      <c r="O47" s="42">
        <v>2.95663611E8</v>
      </c>
      <c r="P47" s="64">
        <f t="shared" si="2"/>
        <v>645650000</v>
      </c>
      <c r="Q47" s="59">
        <v>0.0</v>
      </c>
      <c r="R47" s="59">
        <v>0.0</v>
      </c>
      <c r="S47" s="65">
        <f t="shared" si="3"/>
        <v>645650000</v>
      </c>
      <c r="T47" s="78" t="s">
        <v>294</v>
      </c>
      <c r="U47" s="78" t="s">
        <v>294</v>
      </c>
      <c r="V47" s="75">
        <v>44406.0</v>
      </c>
      <c r="W47" s="76">
        <v>45492.0</v>
      </c>
      <c r="X47" s="76">
        <v>45656.0</v>
      </c>
      <c r="Y47" s="61">
        <v>0.0</v>
      </c>
      <c r="Z47" s="69">
        <v>0.0</v>
      </c>
      <c r="AA47" s="76">
        <v>45656.0</v>
      </c>
      <c r="AB47" s="27">
        <f t="shared" si="4"/>
        <v>-526</v>
      </c>
      <c r="AC47" s="73">
        <v>1000.0</v>
      </c>
      <c r="AD47" s="63">
        <v>0.0</v>
      </c>
      <c r="AE47" s="42">
        <v>3.49986389E8</v>
      </c>
      <c r="AF47" s="42">
        <v>3.49986389E8</v>
      </c>
      <c r="AG47" s="77">
        <f t="shared" si="5"/>
        <v>1</v>
      </c>
      <c r="AH47" s="77">
        <f t="shared" si="7"/>
        <v>1</v>
      </c>
      <c r="AI47" s="60" t="s">
        <v>295</v>
      </c>
      <c r="AJ47" s="38"/>
      <c r="AK47" s="31"/>
      <c r="AL47" s="38"/>
      <c r="AM47" s="39"/>
      <c r="AN47" s="39"/>
      <c r="AO47" s="39"/>
      <c r="AP47" s="51"/>
      <c r="AQ47" s="39"/>
      <c r="AR47" s="49"/>
      <c r="AS47" s="50"/>
      <c r="AT47" s="50"/>
      <c r="AU47" s="50"/>
    </row>
    <row r="48" ht="102.0" customHeight="1">
      <c r="A48" s="28">
        <v>2024.0</v>
      </c>
      <c r="B48" s="60" t="s">
        <v>253</v>
      </c>
      <c r="C48" s="40" t="s">
        <v>63</v>
      </c>
      <c r="D48" s="72" t="s">
        <v>64</v>
      </c>
      <c r="E48" s="37" t="s">
        <v>296</v>
      </c>
      <c r="F48" s="60" t="s">
        <v>297</v>
      </c>
      <c r="G48" s="60" t="s">
        <v>297</v>
      </c>
      <c r="H48" s="60" t="s">
        <v>109</v>
      </c>
      <c r="I48" s="60" t="s">
        <v>298</v>
      </c>
      <c r="J48" s="60" t="s">
        <v>299</v>
      </c>
      <c r="K48" s="60">
        <v>8.0</v>
      </c>
      <c r="L48" s="73">
        <v>1000.0</v>
      </c>
      <c r="M48" s="63">
        <v>0.0</v>
      </c>
      <c r="N48" s="42">
        <v>3.5E8</v>
      </c>
      <c r="O48" s="42">
        <v>3.0805713075E8</v>
      </c>
      <c r="P48" s="64">
        <f t="shared" si="2"/>
        <v>658057130.8</v>
      </c>
      <c r="Q48" s="59">
        <v>0.0</v>
      </c>
      <c r="R48" s="59">
        <v>0.0</v>
      </c>
      <c r="S48" s="65">
        <f t="shared" si="3"/>
        <v>658057130.8</v>
      </c>
      <c r="T48" s="74" t="s">
        <v>53</v>
      </c>
      <c r="U48" s="74" t="s">
        <v>53</v>
      </c>
      <c r="V48" s="75">
        <v>44406.0</v>
      </c>
      <c r="W48" s="76">
        <v>45691.0</v>
      </c>
      <c r="X48" s="76">
        <v>45933.0</v>
      </c>
      <c r="Y48" s="61">
        <v>0.0</v>
      </c>
      <c r="Z48" s="69">
        <v>0.0</v>
      </c>
      <c r="AA48" s="76">
        <v>45933.0</v>
      </c>
      <c r="AB48" s="27">
        <f t="shared" si="4"/>
        <v>-249</v>
      </c>
      <c r="AC48" s="73">
        <v>1000.0</v>
      </c>
      <c r="AD48" s="63">
        <v>0.0</v>
      </c>
      <c r="AE48" s="42">
        <v>3.5E8</v>
      </c>
      <c r="AF48" s="42">
        <v>3.5E8</v>
      </c>
      <c r="AG48" s="77">
        <f t="shared" si="5"/>
        <v>1</v>
      </c>
      <c r="AH48" s="77">
        <f t="shared" si="7"/>
        <v>1</v>
      </c>
      <c r="AI48" s="60" t="s">
        <v>300</v>
      </c>
      <c r="AJ48" s="38"/>
      <c r="AK48" s="31"/>
      <c r="AL48" s="38"/>
      <c r="AM48" s="39"/>
      <c r="AN48" s="39"/>
      <c r="AO48" s="39"/>
      <c r="AP48" s="34"/>
      <c r="AQ48" s="39"/>
      <c r="AR48" s="35"/>
      <c r="AS48" s="50"/>
      <c r="AT48" s="50"/>
      <c r="AU48" s="50"/>
    </row>
    <row r="49" ht="102.0" customHeight="1">
      <c r="A49" s="28">
        <v>2024.0</v>
      </c>
      <c r="B49" s="60" t="s">
        <v>253</v>
      </c>
      <c r="C49" s="40" t="s">
        <v>63</v>
      </c>
      <c r="D49" s="72" t="s">
        <v>64</v>
      </c>
      <c r="E49" s="37" t="s">
        <v>301</v>
      </c>
      <c r="F49" s="60" t="s">
        <v>302</v>
      </c>
      <c r="G49" s="60" t="s">
        <v>302</v>
      </c>
      <c r="H49" s="60" t="s">
        <v>109</v>
      </c>
      <c r="I49" s="60" t="s">
        <v>303</v>
      </c>
      <c r="J49" s="60" t="s">
        <v>304</v>
      </c>
      <c r="K49" s="60">
        <v>8.0</v>
      </c>
      <c r="L49" s="73">
        <v>700.0</v>
      </c>
      <c r="M49" s="63">
        <v>0.0</v>
      </c>
      <c r="N49" s="42">
        <v>2.45E8</v>
      </c>
      <c r="O49" s="42">
        <v>1.01765501078E9</v>
      </c>
      <c r="P49" s="64">
        <f t="shared" si="2"/>
        <v>1262655011</v>
      </c>
      <c r="Q49" s="59">
        <v>0.0</v>
      </c>
      <c r="R49" s="59">
        <v>0.0</v>
      </c>
      <c r="S49" s="65">
        <f t="shared" si="3"/>
        <v>1262655011</v>
      </c>
      <c r="T49" s="74" t="s">
        <v>53</v>
      </c>
      <c r="U49" s="74" t="s">
        <v>53</v>
      </c>
      <c r="V49" s="75">
        <v>44406.0</v>
      </c>
      <c r="W49" s="76">
        <v>45686.0</v>
      </c>
      <c r="X49" s="76">
        <v>45929.0</v>
      </c>
      <c r="Y49" s="61">
        <v>0.0</v>
      </c>
      <c r="Z49" s="69">
        <v>0.0</v>
      </c>
      <c r="AA49" s="76">
        <v>45929.0</v>
      </c>
      <c r="AB49" s="27">
        <f t="shared" si="4"/>
        <v>-253</v>
      </c>
      <c r="AC49" s="73">
        <v>560.0</v>
      </c>
      <c r="AD49" s="63">
        <v>0.0</v>
      </c>
      <c r="AE49" s="42">
        <v>2.45E8</v>
      </c>
      <c r="AF49" s="42">
        <v>2.45E8</v>
      </c>
      <c r="AG49" s="77">
        <f t="shared" si="5"/>
        <v>0.8</v>
      </c>
      <c r="AH49" s="77">
        <f t="shared" si="7"/>
        <v>1</v>
      </c>
      <c r="AI49" s="60" t="s">
        <v>305</v>
      </c>
      <c r="AJ49" s="38"/>
      <c r="AK49" s="31"/>
      <c r="AL49" s="38"/>
      <c r="AM49" s="39"/>
      <c r="AN49" s="39"/>
      <c r="AO49" s="39"/>
      <c r="AP49" s="34"/>
      <c r="AQ49" s="39"/>
      <c r="AR49" s="38"/>
      <c r="AS49" s="50"/>
      <c r="AT49" s="52" t="s">
        <v>90</v>
      </c>
      <c r="AU49" s="50"/>
    </row>
    <row r="50" ht="102.0" customHeight="1">
      <c r="A50" s="28">
        <v>2024.0</v>
      </c>
      <c r="B50" s="60" t="s">
        <v>253</v>
      </c>
      <c r="C50" s="15" t="s">
        <v>306</v>
      </c>
      <c r="D50" s="60" t="s">
        <v>48</v>
      </c>
      <c r="E50" s="37">
        <v>4.600017805E9</v>
      </c>
      <c r="F50" s="60" t="s">
        <v>302</v>
      </c>
      <c r="G50" s="60" t="s">
        <v>302</v>
      </c>
      <c r="H50" s="60" t="s">
        <v>109</v>
      </c>
      <c r="I50" s="60" t="s">
        <v>307</v>
      </c>
      <c r="J50" s="60" t="s">
        <v>308</v>
      </c>
      <c r="K50" s="60">
        <v>3.0</v>
      </c>
      <c r="L50" s="63">
        <v>0.0</v>
      </c>
      <c r="M50" s="66">
        <v>421.36</v>
      </c>
      <c r="N50" s="42">
        <v>1.44162156E8</v>
      </c>
      <c r="O50" s="42">
        <v>3.6040539E7</v>
      </c>
      <c r="P50" s="64">
        <f t="shared" si="2"/>
        <v>180202695</v>
      </c>
      <c r="Q50" s="59">
        <v>0.0</v>
      </c>
      <c r="R50" s="59">
        <v>0.0</v>
      </c>
      <c r="S50" s="65">
        <f t="shared" si="3"/>
        <v>180202695</v>
      </c>
      <c r="T50" s="78" t="s">
        <v>53</v>
      </c>
      <c r="U50" s="78" t="s">
        <v>53</v>
      </c>
      <c r="V50" s="75">
        <v>44406.0</v>
      </c>
      <c r="W50" s="76">
        <v>45652.0</v>
      </c>
      <c r="X50" s="76">
        <v>45742.0</v>
      </c>
      <c r="Y50" s="61">
        <v>3.0</v>
      </c>
      <c r="Z50" s="61">
        <v>0.0</v>
      </c>
      <c r="AA50" s="76">
        <v>45865.0</v>
      </c>
      <c r="AB50" s="27">
        <f t="shared" si="4"/>
        <v>-317</v>
      </c>
      <c r="AC50" s="73">
        <v>0.0</v>
      </c>
      <c r="AD50" s="66">
        <v>421.36</v>
      </c>
      <c r="AE50" s="42">
        <v>1.44162156E8</v>
      </c>
      <c r="AF50" s="42">
        <v>1.44162156E8</v>
      </c>
      <c r="AG50" s="77">
        <f>M50/AD50</f>
        <v>1</v>
      </c>
      <c r="AH50" s="77">
        <f t="shared" si="7"/>
        <v>1</v>
      </c>
      <c r="AI50" s="60" t="s">
        <v>53</v>
      </c>
      <c r="AJ50" s="38"/>
      <c r="AK50" s="31"/>
      <c r="AL50" s="38"/>
      <c r="AM50" s="39"/>
      <c r="AN50" s="39"/>
      <c r="AO50" s="39"/>
      <c r="AP50" s="34"/>
      <c r="AQ50" s="39"/>
      <c r="AR50" s="39"/>
      <c r="AT50" s="50"/>
      <c r="AU50" s="50"/>
    </row>
    <row r="51" ht="102.0" customHeight="1">
      <c r="A51" s="28">
        <v>2024.0</v>
      </c>
      <c r="B51" s="60" t="s">
        <v>309</v>
      </c>
      <c r="C51" s="15" t="s">
        <v>63</v>
      </c>
      <c r="D51" s="60" t="s">
        <v>64</v>
      </c>
      <c r="E51" s="37" t="s">
        <v>310</v>
      </c>
      <c r="F51" s="60" t="s">
        <v>311</v>
      </c>
      <c r="G51" s="60" t="s">
        <v>311</v>
      </c>
      <c r="H51" s="60" t="s">
        <v>93</v>
      </c>
      <c r="I51" s="60" t="s">
        <v>312</v>
      </c>
      <c r="J51" s="60" t="s">
        <v>313</v>
      </c>
      <c r="K51" s="61">
        <v>5.0</v>
      </c>
      <c r="L51" s="73">
        <v>1000.0</v>
      </c>
      <c r="M51" s="63"/>
      <c r="N51" s="42">
        <v>3.5E8</v>
      </c>
      <c r="O51" s="56">
        <v>5.9863427E8</v>
      </c>
      <c r="P51" s="64">
        <f t="shared" si="2"/>
        <v>948634270</v>
      </c>
      <c r="Q51" s="59">
        <v>0.0</v>
      </c>
      <c r="R51" s="59">
        <v>0.0</v>
      </c>
      <c r="S51" s="65">
        <f t="shared" si="3"/>
        <v>948634270</v>
      </c>
      <c r="T51" s="66" t="s">
        <v>53</v>
      </c>
      <c r="U51" s="66" t="s">
        <v>53</v>
      </c>
      <c r="V51" s="67">
        <v>43441.0</v>
      </c>
      <c r="W51" s="68">
        <v>45497.0</v>
      </c>
      <c r="X51" s="68">
        <v>45656.0</v>
      </c>
      <c r="Y51" s="61">
        <v>0.0</v>
      </c>
      <c r="Z51" s="69">
        <v>0.0</v>
      </c>
      <c r="AA51" s="68">
        <v>45656.0</v>
      </c>
      <c r="AB51" s="27">
        <f t="shared" si="4"/>
        <v>-526</v>
      </c>
      <c r="AC51" s="70">
        <v>1000.0</v>
      </c>
      <c r="AD51" s="63">
        <v>0.0</v>
      </c>
      <c r="AE51" s="56">
        <v>3.5E8</v>
      </c>
      <c r="AF51" s="56">
        <v>3.5E8</v>
      </c>
      <c r="AG51" s="71">
        <f t="shared" ref="AG51:AG83" si="8">AC51/L51</f>
        <v>1</v>
      </c>
      <c r="AH51" s="71">
        <f t="shared" si="7"/>
        <v>1</v>
      </c>
      <c r="AI51" s="60" t="s">
        <v>314</v>
      </c>
      <c r="AJ51" s="38"/>
      <c r="AK51" s="31"/>
      <c r="AL51" s="38"/>
      <c r="AM51" s="39"/>
      <c r="AN51" s="39"/>
      <c r="AO51" s="39"/>
      <c r="AP51" s="51"/>
      <c r="AQ51" s="39"/>
      <c r="AR51" s="49"/>
      <c r="AS51" s="36"/>
      <c r="AT51" s="50"/>
      <c r="AU51" s="50"/>
    </row>
    <row r="52" ht="102.0" customHeight="1">
      <c r="A52" s="28">
        <v>2024.0</v>
      </c>
      <c r="B52" s="60" t="s">
        <v>309</v>
      </c>
      <c r="C52" s="40" t="s">
        <v>63</v>
      </c>
      <c r="D52" s="72" t="s">
        <v>64</v>
      </c>
      <c r="E52" s="37" t="s">
        <v>315</v>
      </c>
      <c r="F52" s="60" t="s">
        <v>316</v>
      </c>
      <c r="G52" s="60" t="s">
        <v>316</v>
      </c>
      <c r="H52" s="60" t="s">
        <v>93</v>
      </c>
      <c r="I52" s="60" t="s">
        <v>317</v>
      </c>
      <c r="J52" s="60" t="s">
        <v>318</v>
      </c>
      <c r="K52" s="60">
        <v>5.0</v>
      </c>
      <c r="L52" s="73">
        <v>1000.0</v>
      </c>
      <c r="M52" s="63">
        <v>0.0</v>
      </c>
      <c r="N52" s="42">
        <v>3.49987462E8</v>
      </c>
      <c r="O52" s="42">
        <v>5.52094027E8</v>
      </c>
      <c r="P52" s="64">
        <f t="shared" si="2"/>
        <v>902081489</v>
      </c>
      <c r="Q52" s="59">
        <v>0.0</v>
      </c>
      <c r="R52" s="59">
        <v>0.0</v>
      </c>
      <c r="S52" s="65">
        <f t="shared" si="3"/>
        <v>902081489</v>
      </c>
      <c r="T52" s="74" t="s">
        <v>53</v>
      </c>
      <c r="U52" s="74" t="s">
        <v>53</v>
      </c>
      <c r="V52" s="75">
        <v>44406.0</v>
      </c>
      <c r="W52" s="76">
        <v>45497.0</v>
      </c>
      <c r="X52" s="76">
        <v>45656.0</v>
      </c>
      <c r="Y52" s="61">
        <v>0.0</v>
      </c>
      <c r="Z52" s="69">
        <v>0.0</v>
      </c>
      <c r="AA52" s="76">
        <v>45656.0</v>
      </c>
      <c r="AB52" s="27">
        <f t="shared" si="4"/>
        <v>-526</v>
      </c>
      <c r="AC52" s="73">
        <v>1000.0</v>
      </c>
      <c r="AD52" s="63">
        <v>0.0</v>
      </c>
      <c r="AE52" s="42">
        <v>3.49987462E8</v>
      </c>
      <c r="AF52" s="42">
        <v>3.49987462E8</v>
      </c>
      <c r="AG52" s="77">
        <f t="shared" si="8"/>
        <v>1</v>
      </c>
      <c r="AH52" s="77">
        <f t="shared" si="7"/>
        <v>1</v>
      </c>
      <c r="AI52" s="60" t="s">
        <v>319</v>
      </c>
      <c r="AJ52" s="38"/>
      <c r="AK52" s="31"/>
      <c r="AL52" s="38"/>
      <c r="AM52" s="39"/>
      <c r="AN52" s="39"/>
      <c r="AO52" s="39"/>
      <c r="AP52" s="34"/>
      <c r="AQ52" s="39"/>
      <c r="AR52" s="38"/>
      <c r="AS52" s="50"/>
      <c r="AT52" s="50"/>
      <c r="AU52" s="50"/>
    </row>
    <row r="53" ht="102.0" customHeight="1">
      <c r="A53" s="28">
        <v>2024.0</v>
      </c>
      <c r="B53" s="60" t="s">
        <v>309</v>
      </c>
      <c r="C53" s="40" t="s">
        <v>63</v>
      </c>
      <c r="D53" s="72" t="s">
        <v>64</v>
      </c>
      <c r="E53" s="37" t="s">
        <v>320</v>
      </c>
      <c r="F53" s="60" t="s">
        <v>316</v>
      </c>
      <c r="G53" s="60" t="s">
        <v>316</v>
      </c>
      <c r="H53" s="60" t="s">
        <v>93</v>
      </c>
      <c r="I53" s="60" t="s">
        <v>317</v>
      </c>
      <c r="J53" s="60" t="s">
        <v>321</v>
      </c>
      <c r="K53" s="60">
        <v>7.0</v>
      </c>
      <c r="L53" s="73">
        <v>1000.0</v>
      </c>
      <c r="M53" s="63">
        <v>0.0</v>
      </c>
      <c r="N53" s="42">
        <v>3.5E8</v>
      </c>
      <c r="O53" s="42">
        <v>5.52094027E8</v>
      </c>
      <c r="P53" s="64">
        <f t="shared" si="2"/>
        <v>902094027</v>
      </c>
      <c r="Q53" s="59">
        <v>0.0</v>
      </c>
      <c r="R53" s="59">
        <v>0.0</v>
      </c>
      <c r="S53" s="65">
        <f t="shared" si="3"/>
        <v>902094027</v>
      </c>
      <c r="T53" s="74" t="s">
        <v>53</v>
      </c>
      <c r="U53" s="74" t="s">
        <v>53</v>
      </c>
      <c r="V53" s="75">
        <v>44406.0</v>
      </c>
      <c r="W53" s="76">
        <v>45681.0</v>
      </c>
      <c r="X53" s="76">
        <v>45893.0</v>
      </c>
      <c r="Y53" s="61">
        <v>3.0</v>
      </c>
      <c r="Z53" s="69">
        <v>0.0</v>
      </c>
      <c r="AA53" s="76">
        <v>45985.0</v>
      </c>
      <c r="AB53" s="27">
        <f t="shared" si="4"/>
        <v>-197</v>
      </c>
      <c r="AC53" s="73">
        <v>1000.0</v>
      </c>
      <c r="AD53" s="63">
        <v>0.0</v>
      </c>
      <c r="AE53" s="42">
        <v>3.5E8</v>
      </c>
      <c r="AF53" s="42">
        <v>3.5E8</v>
      </c>
      <c r="AG53" s="77">
        <f t="shared" si="8"/>
        <v>1</v>
      </c>
      <c r="AH53" s="77">
        <f t="shared" si="7"/>
        <v>1</v>
      </c>
      <c r="AI53" s="60" t="s">
        <v>322</v>
      </c>
      <c r="AJ53" s="38"/>
      <c r="AK53" s="31"/>
      <c r="AL53" s="38"/>
      <c r="AM53" s="39"/>
      <c r="AN53" s="39"/>
      <c r="AO53" s="39"/>
      <c r="AP53" s="54"/>
      <c r="AQ53" s="39"/>
      <c r="AR53" s="38"/>
      <c r="AS53" s="50"/>
      <c r="AT53" s="50"/>
      <c r="AU53" s="50"/>
    </row>
    <row r="54" ht="102.0" customHeight="1">
      <c r="A54" s="28">
        <v>2024.0</v>
      </c>
      <c r="B54" s="60" t="s">
        <v>323</v>
      </c>
      <c r="C54" s="15" t="s">
        <v>63</v>
      </c>
      <c r="D54" s="60" t="s">
        <v>64</v>
      </c>
      <c r="E54" s="37" t="s">
        <v>324</v>
      </c>
      <c r="F54" s="60" t="s">
        <v>325</v>
      </c>
      <c r="G54" s="60" t="s">
        <v>325</v>
      </c>
      <c r="H54" s="60" t="s">
        <v>93</v>
      </c>
      <c r="I54" s="60" t="s">
        <v>326</v>
      </c>
      <c r="J54" s="60" t="s">
        <v>327</v>
      </c>
      <c r="K54" s="61">
        <v>7.0</v>
      </c>
      <c r="L54" s="62">
        <v>1000.0</v>
      </c>
      <c r="M54" s="63">
        <v>0.0</v>
      </c>
      <c r="N54" s="42">
        <v>3.49983373E8</v>
      </c>
      <c r="O54" s="56">
        <v>4.71746826E8</v>
      </c>
      <c r="P54" s="64">
        <f t="shared" si="2"/>
        <v>821730199</v>
      </c>
      <c r="Q54" s="59">
        <v>0.0</v>
      </c>
      <c r="R54" s="59">
        <v>0.0</v>
      </c>
      <c r="S54" s="65">
        <f t="shared" si="3"/>
        <v>821730199</v>
      </c>
      <c r="T54" s="66" t="s">
        <v>53</v>
      </c>
      <c r="U54" s="66" t="s">
        <v>53</v>
      </c>
      <c r="V54" s="67">
        <v>43441.0</v>
      </c>
      <c r="W54" s="68">
        <v>45540.0</v>
      </c>
      <c r="X54" s="68">
        <v>45656.0</v>
      </c>
      <c r="Y54" s="61">
        <v>0.0</v>
      </c>
      <c r="Z54" s="69">
        <v>0.0</v>
      </c>
      <c r="AA54" s="68">
        <v>45656.0</v>
      </c>
      <c r="AB54" s="27">
        <f t="shared" si="4"/>
        <v>-526</v>
      </c>
      <c r="AC54" s="70">
        <v>1000.0</v>
      </c>
      <c r="AD54" s="63">
        <v>0.0</v>
      </c>
      <c r="AE54" s="56">
        <v>3.49983373E8</v>
      </c>
      <c r="AF54" s="56">
        <v>3.49983373E8</v>
      </c>
      <c r="AG54" s="71">
        <f t="shared" si="8"/>
        <v>1</v>
      </c>
      <c r="AH54" s="71">
        <f t="shared" si="7"/>
        <v>1</v>
      </c>
      <c r="AI54" s="60" t="s">
        <v>328</v>
      </c>
      <c r="AJ54" s="38"/>
      <c r="AK54" s="31"/>
      <c r="AL54" s="38"/>
      <c r="AM54" s="39"/>
      <c r="AN54" s="39"/>
      <c r="AO54" s="39"/>
      <c r="AP54" s="34"/>
      <c r="AQ54" s="39"/>
      <c r="AR54" s="49"/>
      <c r="AS54" s="36"/>
      <c r="AT54" s="50"/>
      <c r="AU54" s="50"/>
    </row>
    <row r="55" ht="102.0" customHeight="1">
      <c r="A55" s="28">
        <v>2024.0</v>
      </c>
      <c r="B55" s="60" t="s">
        <v>323</v>
      </c>
      <c r="C55" s="40" t="s">
        <v>63</v>
      </c>
      <c r="D55" s="72" t="s">
        <v>64</v>
      </c>
      <c r="E55" s="37" t="s">
        <v>329</v>
      </c>
      <c r="F55" s="60" t="s">
        <v>330</v>
      </c>
      <c r="G55" s="60" t="s">
        <v>330</v>
      </c>
      <c r="H55" s="60" t="s">
        <v>74</v>
      </c>
      <c r="I55" s="60" t="s">
        <v>331</v>
      </c>
      <c r="J55" s="60" t="s">
        <v>332</v>
      </c>
      <c r="K55" s="60">
        <v>3.0</v>
      </c>
      <c r="L55" s="73">
        <v>1000.0</v>
      </c>
      <c r="M55" s="63">
        <v>0.0</v>
      </c>
      <c r="N55" s="42">
        <v>3.49958856E8</v>
      </c>
      <c r="O55" s="42">
        <v>5.8E8</v>
      </c>
      <c r="P55" s="64">
        <f t="shared" si="2"/>
        <v>929958856</v>
      </c>
      <c r="Q55" s="59">
        <v>0.0</v>
      </c>
      <c r="R55" s="59">
        <v>0.0</v>
      </c>
      <c r="S55" s="65">
        <f t="shared" si="3"/>
        <v>929958856</v>
      </c>
      <c r="T55" s="74" t="s">
        <v>53</v>
      </c>
      <c r="U55" s="74" t="s">
        <v>53</v>
      </c>
      <c r="V55" s="75">
        <v>44406.0</v>
      </c>
      <c r="W55" s="76">
        <v>45555.0</v>
      </c>
      <c r="X55" s="76">
        <v>45656.0</v>
      </c>
      <c r="Y55" s="61">
        <v>0.0</v>
      </c>
      <c r="Z55" s="69">
        <v>0.0</v>
      </c>
      <c r="AA55" s="76">
        <v>45656.0</v>
      </c>
      <c r="AB55" s="27">
        <f t="shared" si="4"/>
        <v>-526</v>
      </c>
      <c r="AC55" s="73">
        <v>330.0</v>
      </c>
      <c r="AD55" s="63">
        <v>0.0</v>
      </c>
      <c r="AE55" s="42">
        <v>3.49958856E8</v>
      </c>
      <c r="AF55" s="42">
        <v>1.15486422E8</v>
      </c>
      <c r="AG55" s="77">
        <f t="shared" si="8"/>
        <v>0.33</v>
      </c>
      <c r="AH55" s="77">
        <f t="shared" si="7"/>
        <v>0.3299999986</v>
      </c>
      <c r="AI55" s="60" t="s">
        <v>333</v>
      </c>
      <c r="AJ55" s="38"/>
      <c r="AK55" s="31"/>
      <c r="AL55" s="38"/>
      <c r="AM55" s="39"/>
      <c r="AN55" s="39"/>
      <c r="AO55" s="39"/>
      <c r="AP55" s="55"/>
      <c r="AQ55" s="39"/>
      <c r="AR55" s="39"/>
      <c r="AS55" s="50"/>
      <c r="AT55" s="50"/>
      <c r="AU55" s="50"/>
    </row>
    <row r="56" ht="102.0" customHeight="1">
      <c r="A56" s="28">
        <v>2024.0</v>
      </c>
      <c r="B56" s="60" t="s">
        <v>46</v>
      </c>
      <c r="C56" s="15" t="s">
        <v>63</v>
      </c>
      <c r="D56" s="60" t="s">
        <v>64</v>
      </c>
      <c r="E56" s="37" t="s">
        <v>334</v>
      </c>
      <c r="F56" s="60" t="s">
        <v>335</v>
      </c>
      <c r="G56" s="60" t="s">
        <v>335</v>
      </c>
      <c r="H56" s="60" t="s">
        <v>50</v>
      </c>
      <c r="I56" s="60" t="s">
        <v>336</v>
      </c>
      <c r="J56" s="60" t="s">
        <v>337</v>
      </c>
      <c r="K56" s="61">
        <v>7.0</v>
      </c>
      <c r="L56" s="73">
        <v>1000.0</v>
      </c>
      <c r="M56" s="63"/>
      <c r="N56" s="42">
        <v>3.5E8</v>
      </c>
      <c r="O56" s="56">
        <v>1.72E8</v>
      </c>
      <c r="P56" s="64">
        <f t="shared" si="2"/>
        <v>522000000</v>
      </c>
      <c r="Q56" s="59">
        <v>0.0</v>
      </c>
      <c r="R56" s="59">
        <v>0.0</v>
      </c>
      <c r="S56" s="65">
        <f t="shared" si="3"/>
        <v>522000000</v>
      </c>
      <c r="T56" s="66" t="s">
        <v>53</v>
      </c>
      <c r="U56" s="66" t="s">
        <v>53</v>
      </c>
      <c r="V56" s="67">
        <v>43441.0</v>
      </c>
      <c r="W56" s="68">
        <v>45688.0</v>
      </c>
      <c r="X56" s="68">
        <v>45900.0</v>
      </c>
      <c r="Y56" s="61">
        <v>3.0</v>
      </c>
      <c r="Z56" s="69">
        <v>0.0</v>
      </c>
      <c r="AA56" s="68">
        <v>46022.0</v>
      </c>
      <c r="AB56" s="27">
        <f t="shared" si="4"/>
        <v>-160</v>
      </c>
      <c r="AC56" s="70">
        <v>800.0</v>
      </c>
      <c r="AD56" s="63">
        <v>0.0</v>
      </c>
      <c r="AE56" s="56">
        <v>3.5E8</v>
      </c>
      <c r="AF56" s="56">
        <v>2.31E8</v>
      </c>
      <c r="AG56" s="71">
        <f t="shared" si="8"/>
        <v>0.8</v>
      </c>
      <c r="AH56" s="71">
        <f t="shared" si="7"/>
        <v>0.66</v>
      </c>
      <c r="AI56" s="60" t="s">
        <v>338</v>
      </c>
      <c r="AJ56" s="38"/>
      <c r="AK56" s="31"/>
      <c r="AL56" s="38"/>
      <c r="AM56" s="39"/>
      <c r="AN56" s="39"/>
      <c r="AO56" s="39"/>
      <c r="AP56" s="54"/>
      <c r="AQ56" s="39"/>
      <c r="AR56" s="38"/>
      <c r="AS56" s="36"/>
      <c r="AT56" s="50"/>
      <c r="AU56" s="50"/>
    </row>
    <row r="57" ht="102.0" customHeight="1">
      <c r="A57" s="18">
        <v>2024.0</v>
      </c>
      <c r="B57" s="60" t="s">
        <v>46</v>
      </c>
      <c r="C57" s="40" t="s">
        <v>63</v>
      </c>
      <c r="D57" s="72" t="s">
        <v>64</v>
      </c>
      <c r="E57" s="37" t="s">
        <v>339</v>
      </c>
      <c r="F57" s="60" t="s">
        <v>340</v>
      </c>
      <c r="G57" s="60" t="s">
        <v>340</v>
      </c>
      <c r="H57" s="60" t="s">
        <v>50</v>
      </c>
      <c r="I57" s="60" t="s">
        <v>341</v>
      </c>
      <c r="J57" s="60" t="s">
        <v>342</v>
      </c>
      <c r="K57" s="60">
        <v>3.0</v>
      </c>
      <c r="L57" s="62">
        <v>1000.0</v>
      </c>
      <c r="M57" s="63">
        <v>0.0</v>
      </c>
      <c r="N57" s="42">
        <v>3.4541466E8</v>
      </c>
      <c r="O57" s="42">
        <v>2.87417939E8</v>
      </c>
      <c r="P57" s="64">
        <f t="shared" si="2"/>
        <v>632832599</v>
      </c>
      <c r="Q57" s="59">
        <v>0.0</v>
      </c>
      <c r="R57" s="59">
        <v>0.0</v>
      </c>
      <c r="S57" s="65">
        <f t="shared" si="3"/>
        <v>632832599</v>
      </c>
      <c r="T57" s="74" t="s">
        <v>53</v>
      </c>
      <c r="U57" s="78" t="s">
        <v>53</v>
      </c>
      <c r="V57" s="75">
        <v>44406.0</v>
      </c>
      <c r="W57" s="76">
        <v>45539.0</v>
      </c>
      <c r="X57" s="76">
        <v>45656.0</v>
      </c>
      <c r="Y57" s="61">
        <v>0.0</v>
      </c>
      <c r="Z57" s="69">
        <v>0.0</v>
      </c>
      <c r="AA57" s="76">
        <v>45656.0</v>
      </c>
      <c r="AB57" s="27">
        <f t="shared" si="4"/>
        <v>-526</v>
      </c>
      <c r="AC57" s="73">
        <v>1000.0</v>
      </c>
      <c r="AD57" s="63">
        <v>0.0</v>
      </c>
      <c r="AE57" s="42">
        <v>3.4541466E8</v>
      </c>
      <c r="AF57" s="42">
        <v>3.4541466E8</v>
      </c>
      <c r="AG57" s="77">
        <f t="shared" si="8"/>
        <v>1</v>
      </c>
      <c r="AH57" s="77">
        <f t="shared" si="7"/>
        <v>1</v>
      </c>
      <c r="AI57" s="60" t="s">
        <v>280</v>
      </c>
      <c r="AJ57" s="38"/>
      <c r="AK57" s="31"/>
      <c r="AL57" s="38"/>
      <c r="AM57" s="39"/>
      <c r="AN57" s="39"/>
      <c r="AO57" s="39"/>
      <c r="AP57" s="34"/>
      <c r="AQ57" s="39"/>
      <c r="AR57" s="35"/>
      <c r="AS57" s="50"/>
      <c r="AT57" s="50"/>
      <c r="AU57" s="50"/>
    </row>
    <row r="58" ht="102.0" customHeight="1">
      <c r="A58" s="28">
        <v>2024.0</v>
      </c>
      <c r="B58" s="60" t="s">
        <v>46</v>
      </c>
      <c r="C58" s="40" t="s">
        <v>63</v>
      </c>
      <c r="D58" s="72" t="s">
        <v>64</v>
      </c>
      <c r="E58" s="37" t="s">
        <v>343</v>
      </c>
      <c r="F58" s="60" t="s">
        <v>49</v>
      </c>
      <c r="G58" s="60" t="s">
        <v>49</v>
      </c>
      <c r="H58" s="60" t="s">
        <v>50</v>
      </c>
      <c r="I58" s="60" t="s">
        <v>344</v>
      </c>
      <c r="J58" s="60" t="s">
        <v>345</v>
      </c>
      <c r="K58" s="60">
        <v>4.0</v>
      </c>
      <c r="L58" s="73">
        <v>500.0</v>
      </c>
      <c r="M58" s="63">
        <v>0.0</v>
      </c>
      <c r="N58" s="42">
        <v>1.74988881E8</v>
      </c>
      <c r="O58" s="42">
        <v>4.2763053E8</v>
      </c>
      <c r="P58" s="64">
        <f t="shared" si="2"/>
        <v>602619411</v>
      </c>
      <c r="Q58" s="59">
        <v>0.0</v>
      </c>
      <c r="R58" s="59">
        <v>0.0</v>
      </c>
      <c r="S58" s="65">
        <f t="shared" si="3"/>
        <v>602619411</v>
      </c>
      <c r="T58" s="74" t="s">
        <v>53</v>
      </c>
      <c r="U58" s="74" t="s">
        <v>53</v>
      </c>
      <c r="V58" s="75">
        <v>44406.0</v>
      </c>
      <c r="W58" s="76">
        <v>45524.0</v>
      </c>
      <c r="X58" s="76">
        <v>45656.0</v>
      </c>
      <c r="Y58" s="61">
        <v>0.0</v>
      </c>
      <c r="Z58" s="69">
        <v>0.0</v>
      </c>
      <c r="AA58" s="76">
        <v>45914.0</v>
      </c>
      <c r="AB58" s="27">
        <f t="shared" si="4"/>
        <v>-268</v>
      </c>
      <c r="AC58" s="73">
        <v>495.0</v>
      </c>
      <c r="AD58" s="63">
        <v>0.0</v>
      </c>
      <c r="AE58" s="42">
        <v>1.74988881E8</v>
      </c>
      <c r="AF58" s="42">
        <v>1.74988881E8</v>
      </c>
      <c r="AG58" s="77">
        <f t="shared" si="8"/>
        <v>0.99</v>
      </c>
      <c r="AH58" s="77">
        <f t="shared" si="7"/>
        <v>1</v>
      </c>
      <c r="AI58" s="60" t="s">
        <v>346</v>
      </c>
      <c r="AJ58" s="38"/>
      <c r="AK58" s="31"/>
      <c r="AL58" s="38"/>
      <c r="AM58" s="39"/>
      <c r="AN58" s="39"/>
      <c r="AO58" s="39"/>
      <c r="AP58" s="54"/>
      <c r="AQ58" s="39"/>
      <c r="AR58" s="39"/>
      <c r="AS58" s="50"/>
      <c r="AT58" s="50"/>
      <c r="AU58" s="50"/>
    </row>
    <row r="59" ht="102.0" customHeight="1">
      <c r="A59" s="28">
        <v>2024.0</v>
      </c>
      <c r="B59" s="60" t="s">
        <v>46</v>
      </c>
      <c r="C59" s="40" t="s">
        <v>63</v>
      </c>
      <c r="D59" s="72" t="s">
        <v>64</v>
      </c>
      <c r="E59" s="37" t="s">
        <v>347</v>
      </c>
      <c r="F59" s="60" t="s">
        <v>348</v>
      </c>
      <c r="G59" s="60" t="s">
        <v>348</v>
      </c>
      <c r="H59" s="60" t="s">
        <v>50</v>
      </c>
      <c r="I59" s="60" t="s">
        <v>349</v>
      </c>
      <c r="J59" s="60" t="s">
        <v>350</v>
      </c>
      <c r="K59" s="60">
        <v>7.0</v>
      </c>
      <c r="L59" s="73">
        <v>1000.0</v>
      </c>
      <c r="M59" s="63">
        <v>0.0</v>
      </c>
      <c r="N59" s="42">
        <v>3.5E8</v>
      </c>
      <c r="O59" s="42">
        <v>1.750015868E9</v>
      </c>
      <c r="P59" s="64">
        <f t="shared" si="2"/>
        <v>2100015868</v>
      </c>
      <c r="Q59" s="59">
        <v>0.0</v>
      </c>
      <c r="R59" s="59">
        <v>0.0</v>
      </c>
      <c r="S59" s="65">
        <f t="shared" si="3"/>
        <v>2100015868</v>
      </c>
      <c r="T59" s="74" t="s">
        <v>53</v>
      </c>
      <c r="U59" s="74" t="s">
        <v>53</v>
      </c>
      <c r="V59" s="75">
        <v>44406.0</v>
      </c>
      <c r="W59" s="76">
        <v>45693.0</v>
      </c>
      <c r="X59" s="76">
        <v>45905.0</v>
      </c>
      <c r="Y59" s="61">
        <v>1.0</v>
      </c>
      <c r="Z59" s="69">
        <v>0.0</v>
      </c>
      <c r="AA59" s="76">
        <v>45939.0</v>
      </c>
      <c r="AB59" s="27">
        <f t="shared" si="4"/>
        <v>-243</v>
      </c>
      <c r="AC59" s="73">
        <v>1000.0</v>
      </c>
      <c r="AD59" s="63">
        <v>0.0</v>
      </c>
      <c r="AE59" s="42">
        <v>3.5E8</v>
      </c>
      <c r="AF59" s="42">
        <v>3.5E8</v>
      </c>
      <c r="AG59" s="77">
        <f t="shared" si="8"/>
        <v>1</v>
      </c>
      <c r="AH59" s="77">
        <f t="shared" si="7"/>
        <v>1</v>
      </c>
      <c r="AI59" s="60" t="s">
        <v>351</v>
      </c>
      <c r="AJ59" s="38"/>
      <c r="AK59" s="31"/>
      <c r="AL59" s="38"/>
      <c r="AM59" s="39"/>
      <c r="AN59" s="39"/>
      <c r="AO59" s="39"/>
      <c r="AP59" s="55"/>
      <c r="AQ59" s="39"/>
      <c r="AR59" s="39"/>
      <c r="AS59" s="50"/>
      <c r="AT59" s="50"/>
      <c r="AU59" s="50"/>
    </row>
    <row r="60" ht="102.0" customHeight="1">
      <c r="A60" s="28">
        <v>2024.0</v>
      </c>
      <c r="B60" s="60" t="s">
        <v>46</v>
      </c>
      <c r="C60" s="40" t="s">
        <v>63</v>
      </c>
      <c r="D60" s="72" t="s">
        <v>64</v>
      </c>
      <c r="E60" s="37" t="s">
        <v>352</v>
      </c>
      <c r="F60" s="60" t="s">
        <v>353</v>
      </c>
      <c r="G60" s="60" t="s">
        <v>353</v>
      </c>
      <c r="H60" s="60" t="s">
        <v>50</v>
      </c>
      <c r="I60" s="60" t="s">
        <v>354</v>
      </c>
      <c r="J60" s="60" t="s">
        <v>355</v>
      </c>
      <c r="K60" s="60">
        <v>5.0</v>
      </c>
      <c r="L60" s="73">
        <v>1000.0</v>
      </c>
      <c r="M60" s="63">
        <v>0.0</v>
      </c>
      <c r="N60" s="42">
        <v>3.40305002E8</v>
      </c>
      <c r="O60" s="42">
        <v>8.9705263E8</v>
      </c>
      <c r="P60" s="64">
        <f t="shared" si="2"/>
        <v>1237357632</v>
      </c>
      <c r="Q60" s="59">
        <v>0.0</v>
      </c>
      <c r="R60" s="59">
        <v>0.0</v>
      </c>
      <c r="S60" s="65">
        <f t="shared" si="3"/>
        <v>1237357632</v>
      </c>
      <c r="T60" s="74" t="s">
        <v>53</v>
      </c>
      <c r="U60" s="74" t="s">
        <v>53</v>
      </c>
      <c r="V60" s="75">
        <v>44406.0</v>
      </c>
      <c r="W60" s="76">
        <v>45497.0</v>
      </c>
      <c r="X60" s="76">
        <v>45656.0</v>
      </c>
      <c r="Y60" s="61">
        <v>0.0</v>
      </c>
      <c r="Z60" s="69">
        <v>0.0</v>
      </c>
      <c r="AA60" s="76">
        <v>45656.0</v>
      </c>
      <c r="AB60" s="27">
        <f t="shared" si="4"/>
        <v>-526</v>
      </c>
      <c r="AC60" s="73">
        <v>1000.0</v>
      </c>
      <c r="AD60" s="63">
        <v>0.0</v>
      </c>
      <c r="AE60" s="42">
        <v>3.40305002E8</v>
      </c>
      <c r="AF60" s="42">
        <v>3.40305002E8</v>
      </c>
      <c r="AG60" s="77">
        <f t="shared" si="8"/>
        <v>1</v>
      </c>
      <c r="AH60" s="77">
        <f t="shared" si="7"/>
        <v>1</v>
      </c>
      <c r="AI60" s="60" t="s">
        <v>356</v>
      </c>
      <c r="AJ60" s="38"/>
      <c r="AK60" s="31"/>
      <c r="AL60" s="38"/>
      <c r="AM60" s="39"/>
      <c r="AN60" s="39"/>
      <c r="AO60" s="39"/>
      <c r="AP60" s="34"/>
      <c r="AQ60" s="39"/>
      <c r="AR60" s="38"/>
      <c r="AS60" s="50"/>
      <c r="AT60" s="52" t="s">
        <v>90</v>
      </c>
      <c r="AU60" s="50"/>
    </row>
    <row r="61" ht="102.0" customHeight="1">
      <c r="A61" s="28">
        <v>2024.0</v>
      </c>
      <c r="B61" s="60" t="s">
        <v>46</v>
      </c>
      <c r="C61" s="40" t="s">
        <v>63</v>
      </c>
      <c r="D61" s="72" t="s">
        <v>64</v>
      </c>
      <c r="E61" s="37" t="s">
        <v>357</v>
      </c>
      <c r="F61" s="60" t="s">
        <v>353</v>
      </c>
      <c r="G61" s="60" t="s">
        <v>353</v>
      </c>
      <c r="H61" s="60" t="s">
        <v>50</v>
      </c>
      <c r="I61" s="60" t="s">
        <v>354</v>
      </c>
      <c r="J61" s="60" t="s">
        <v>358</v>
      </c>
      <c r="K61" s="60">
        <v>6.0</v>
      </c>
      <c r="L61" s="73">
        <v>1000.0</v>
      </c>
      <c r="M61" s="63">
        <v>0.0</v>
      </c>
      <c r="N61" s="42">
        <v>3.5E8</v>
      </c>
      <c r="O61" s="42">
        <v>1.199997999E9</v>
      </c>
      <c r="P61" s="64">
        <f t="shared" si="2"/>
        <v>1549997999</v>
      </c>
      <c r="Q61" s="59">
        <v>0.0</v>
      </c>
      <c r="R61" s="59">
        <v>0.0</v>
      </c>
      <c r="S61" s="65">
        <f t="shared" si="3"/>
        <v>1549997999</v>
      </c>
      <c r="T61" s="74" t="s">
        <v>53</v>
      </c>
      <c r="U61" s="74" t="s">
        <v>53</v>
      </c>
      <c r="V61" s="75">
        <v>44406.0</v>
      </c>
      <c r="W61" s="76">
        <v>45679.0</v>
      </c>
      <c r="X61" s="76">
        <v>45860.0</v>
      </c>
      <c r="Y61" s="61">
        <v>0.0</v>
      </c>
      <c r="Z61" s="69">
        <v>0.0</v>
      </c>
      <c r="AA61" s="76">
        <v>45860.0</v>
      </c>
      <c r="AB61" s="27">
        <f t="shared" si="4"/>
        <v>-322</v>
      </c>
      <c r="AC61" s="73">
        <v>900.0</v>
      </c>
      <c r="AD61" s="63">
        <v>0.0</v>
      </c>
      <c r="AE61" s="42">
        <v>3.5E8</v>
      </c>
      <c r="AF61" s="42">
        <v>3.5E8</v>
      </c>
      <c r="AG61" s="77">
        <f t="shared" si="8"/>
        <v>0.9</v>
      </c>
      <c r="AH61" s="77">
        <f t="shared" si="7"/>
        <v>1</v>
      </c>
      <c r="AI61" s="60" t="s">
        <v>359</v>
      </c>
      <c r="AJ61" s="38"/>
      <c r="AK61" s="31"/>
      <c r="AL61" s="38"/>
      <c r="AM61" s="39"/>
      <c r="AN61" s="39"/>
      <c r="AO61" s="39"/>
      <c r="AP61" s="54"/>
      <c r="AQ61" s="39"/>
      <c r="AR61" s="38"/>
      <c r="AS61" s="50"/>
      <c r="AT61" s="50"/>
      <c r="AU61" s="50"/>
    </row>
    <row r="62" ht="102.0" customHeight="1">
      <c r="A62" s="28">
        <v>2024.0</v>
      </c>
      <c r="B62" s="60" t="s">
        <v>46</v>
      </c>
      <c r="C62" s="40" t="s">
        <v>63</v>
      </c>
      <c r="D62" s="72" t="s">
        <v>64</v>
      </c>
      <c r="E62" s="37" t="s">
        <v>360</v>
      </c>
      <c r="F62" s="60" t="s">
        <v>58</v>
      </c>
      <c r="G62" s="60" t="s">
        <v>58</v>
      </c>
      <c r="H62" s="60" t="s">
        <v>50</v>
      </c>
      <c r="I62" s="60" t="s">
        <v>361</v>
      </c>
      <c r="J62" s="60" t="s">
        <v>362</v>
      </c>
      <c r="K62" s="60">
        <v>3.0</v>
      </c>
      <c r="L62" s="73">
        <v>140.0</v>
      </c>
      <c r="M62" s="63">
        <v>0.0</v>
      </c>
      <c r="N62" s="42">
        <v>1.0E8</v>
      </c>
      <c r="O62" s="42">
        <v>3.0E8</v>
      </c>
      <c r="P62" s="64">
        <f t="shared" si="2"/>
        <v>400000000</v>
      </c>
      <c r="Q62" s="59">
        <v>0.0</v>
      </c>
      <c r="R62" s="59">
        <v>0.0</v>
      </c>
      <c r="S62" s="65">
        <f t="shared" si="3"/>
        <v>400000000</v>
      </c>
      <c r="T62" s="74" t="s">
        <v>53</v>
      </c>
      <c r="U62" s="74" t="s">
        <v>53</v>
      </c>
      <c r="V62" s="75">
        <v>44406.0</v>
      </c>
      <c r="W62" s="76">
        <v>45685.0</v>
      </c>
      <c r="X62" s="76">
        <v>45775.0</v>
      </c>
      <c r="Y62" s="61">
        <v>0.0</v>
      </c>
      <c r="Z62" s="69">
        <v>0.0</v>
      </c>
      <c r="AA62" s="76">
        <v>45775.0</v>
      </c>
      <c r="AB62" s="27">
        <f t="shared" si="4"/>
        <v>-407</v>
      </c>
      <c r="AC62" s="73">
        <v>140.0</v>
      </c>
      <c r="AD62" s="63">
        <v>0.0</v>
      </c>
      <c r="AE62" s="42">
        <v>1.0E8</v>
      </c>
      <c r="AF62" s="42">
        <v>1.0E8</v>
      </c>
      <c r="AG62" s="77">
        <f t="shared" si="8"/>
        <v>1</v>
      </c>
      <c r="AH62" s="77">
        <f t="shared" si="7"/>
        <v>1</v>
      </c>
      <c r="AI62" s="60" t="s">
        <v>363</v>
      </c>
      <c r="AJ62" s="38"/>
      <c r="AK62" s="31"/>
      <c r="AL62" s="38"/>
      <c r="AM62" s="39"/>
      <c r="AN62" s="39"/>
      <c r="AO62" s="39"/>
      <c r="AP62" s="34"/>
      <c r="AQ62" s="39"/>
      <c r="AR62" s="39"/>
      <c r="AS62" s="50"/>
      <c r="AT62" s="50"/>
      <c r="AU62" s="50"/>
    </row>
    <row r="63" ht="62.25" customHeight="1">
      <c r="A63" s="28">
        <v>2024.0</v>
      </c>
      <c r="B63" s="60" t="s">
        <v>46</v>
      </c>
      <c r="C63" s="15" t="s">
        <v>107</v>
      </c>
      <c r="D63" s="72" t="s">
        <v>48</v>
      </c>
      <c r="E63" s="37">
        <v>4.600017803E9</v>
      </c>
      <c r="F63" s="60" t="s">
        <v>58</v>
      </c>
      <c r="G63" s="60" t="s">
        <v>58</v>
      </c>
      <c r="H63" s="60" t="s">
        <v>50</v>
      </c>
      <c r="I63" s="60" t="s">
        <v>364</v>
      </c>
      <c r="J63" s="60" t="s">
        <v>365</v>
      </c>
      <c r="K63" s="60">
        <v>9.0</v>
      </c>
      <c r="L63" s="73">
        <v>1000.0</v>
      </c>
      <c r="M63" s="63">
        <v>0.0</v>
      </c>
      <c r="N63" s="42">
        <v>3.09278056E9</v>
      </c>
      <c r="O63" s="42">
        <v>4.0E7</v>
      </c>
      <c r="P63" s="64">
        <f t="shared" si="2"/>
        <v>3132780560</v>
      </c>
      <c r="Q63" s="59">
        <v>0.0</v>
      </c>
      <c r="R63" s="59">
        <v>0.0</v>
      </c>
      <c r="S63" s="65">
        <f t="shared" si="3"/>
        <v>3132780560</v>
      </c>
      <c r="T63" s="78" t="s">
        <v>70</v>
      </c>
      <c r="U63" s="78" t="s">
        <v>70</v>
      </c>
      <c r="V63" s="75">
        <v>44406.0</v>
      </c>
      <c r="W63" s="76">
        <v>45653.0</v>
      </c>
      <c r="X63" s="76">
        <v>45896.0</v>
      </c>
      <c r="Y63" s="61">
        <v>0.0</v>
      </c>
      <c r="Z63" s="61">
        <v>6.0</v>
      </c>
      <c r="AA63" s="76">
        <v>46231.0</v>
      </c>
      <c r="AB63" s="27">
        <f t="shared" si="4"/>
        <v>49</v>
      </c>
      <c r="AC63" s="73">
        <v>690.0</v>
      </c>
      <c r="AD63" s="63">
        <v>0.0</v>
      </c>
      <c r="AE63" s="42">
        <v>3.09278056E9</v>
      </c>
      <c r="AF63" s="42">
        <v>3.09278056E9</v>
      </c>
      <c r="AG63" s="77">
        <f t="shared" si="8"/>
        <v>0.69</v>
      </c>
      <c r="AH63" s="77">
        <f t="shared" si="7"/>
        <v>1</v>
      </c>
      <c r="AI63" s="60" t="s">
        <v>366</v>
      </c>
      <c r="AJ63" s="38"/>
      <c r="AK63" s="31"/>
      <c r="AL63" s="38"/>
      <c r="AM63" s="39"/>
      <c r="AN63" s="39"/>
      <c r="AO63" s="39"/>
      <c r="AP63" s="51"/>
      <c r="AQ63" s="39"/>
      <c r="AR63" s="49"/>
    </row>
    <row r="64" ht="62.25" customHeight="1">
      <c r="A64" s="28">
        <v>2024.0</v>
      </c>
      <c r="B64" s="60" t="s">
        <v>367</v>
      </c>
      <c r="C64" s="15" t="s">
        <v>63</v>
      </c>
      <c r="D64" s="60" t="s">
        <v>64</v>
      </c>
      <c r="E64" s="37" t="s">
        <v>368</v>
      </c>
      <c r="F64" s="60" t="s">
        <v>369</v>
      </c>
      <c r="G64" s="60" t="s">
        <v>369</v>
      </c>
      <c r="H64" s="60" t="s">
        <v>67</v>
      </c>
      <c r="I64" s="60" t="s">
        <v>370</v>
      </c>
      <c r="J64" s="60" t="s">
        <v>371</v>
      </c>
      <c r="K64" s="61">
        <v>7.0</v>
      </c>
      <c r="L64" s="62">
        <v>1000.0</v>
      </c>
      <c r="M64" s="63">
        <v>0.0</v>
      </c>
      <c r="N64" s="42">
        <v>3.5E8</v>
      </c>
      <c r="O64" s="56">
        <v>4.87439836E8</v>
      </c>
      <c r="P64" s="64">
        <f t="shared" si="2"/>
        <v>837439836</v>
      </c>
      <c r="Q64" s="59">
        <v>0.0</v>
      </c>
      <c r="R64" s="59">
        <v>0.0</v>
      </c>
      <c r="S64" s="65">
        <f t="shared" si="3"/>
        <v>837439836</v>
      </c>
      <c r="T64" s="66" t="s">
        <v>53</v>
      </c>
      <c r="U64" s="66" t="s">
        <v>53</v>
      </c>
      <c r="V64" s="67">
        <v>43441.0</v>
      </c>
      <c r="W64" s="68">
        <v>45678.0</v>
      </c>
      <c r="X64" s="68">
        <v>45859.0</v>
      </c>
      <c r="Y64" s="61">
        <v>5.0</v>
      </c>
      <c r="Z64" s="69">
        <v>0.0</v>
      </c>
      <c r="AA64" s="68">
        <v>46012.0</v>
      </c>
      <c r="AB64" s="27">
        <f t="shared" si="4"/>
        <v>-170</v>
      </c>
      <c r="AC64" s="70">
        <v>920.0</v>
      </c>
      <c r="AD64" s="63">
        <v>0.0</v>
      </c>
      <c r="AE64" s="56">
        <v>3.5E8</v>
      </c>
      <c r="AF64" s="56">
        <v>3.49992727E8</v>
      </c>
      <c r="AG64" s="71">
        <f t="shared" si="8"/>
        <v>0.92</v>
      </c>
      <c r="AH64" s="71">
        <f t="shared" si="7"/>
        <v>0.99997922</v>
      </c>
      <c r="AI64" s="60" t="s">
        <v>372</v>
      </c>
      <c r="AJ64" s="30" t="s">
        <v>55</v>
      </c>
      <c r="AK64" s="31"/>
      <c r="AL64" s="38"/>
      <c r="AM64" s="39"/>
      <c r="AN64" s="39"/>
      <c r="AO64" s="39"/>
      <c r="AP64" s="54"/>
      <c r="AQ64" s="39"/>
      <c r="AR64" s="38"/>
      <c r="AS64" s="36"/>
    </row>
    <row r="65" ht="99.75" customHeight="1">
      <c r="A65" s="28">
        <v>2024.0</v>
      </c>
      <c r="B65" s="60" t="s">
        <v>367</v>
      </c>
      <c r="C65" s="15" t="s">
        <v>63</v>
      </c>
      <c r="D65" s="60" t="s">
        <v>64</v>
      </c>
      <c r="E65" s="37" t="s">
        <v>373</v>
      </c>
      <c r="F65" s="60" t="s">
        <v>374</v>
      </c>
      <c r="G65" s="60" t="s">
        <v>374</v>
      </c>
      <c r="H65" s="60" t="s">
        <v>163</v>
      </c>
      <c r="I65" s="60" t="s">
        <v>375</v>
      </c>
      <c r="J65" s="60" t="s">
        <v>376</v>
      </c>
      <c r="K65" s="61">
        <v>5.0</v>
      </c>
      <c r="L65" s="73">
        <v>1000.0</v>
      </c>
      <c r="M65" s="63"/>
      <c r="N65" s="42">
        <v>3.49997394E8</v>
      </c>
      <c r="O65" s="56">
        <f>974239774-349997394</f>
        <v>624242380</v>
      </c>
      <c r="P65" s="64">
        <f t="shared" si="2"/>
        <v>974239774</v>
      </c>
      <c r="Q65" s="59">
        <v>0.0</v>
      </c>
      <c r="R65" s="59">
        <v>0.0</v>
      </c>
      <c r="S65" s="65">
        <f t="shared" si="3"/>
        <v>974239774</v>
      </c>
      <c r="T65" s="66" t="s">
        <v>53</v>
      </c>
      <c r="U65" s="66" t="s">
        <v>53</v>
      </c>
      <c r="V65" s="67">
        <v>43441.0</v>
      </c>
      <c r="W65" s="68">
        <v>45497.0</v>
      </c>
      <c r="X65" s="68">
        <v>45656.0</v>
      </c>
      <c r="Y65" s="61">
        <v>0.0</v>
      </c>
      <c r="Z65" s="69">
        <v>0.0</v>
      </c>
      <c r="AA65" s="68">
        <v>45656.0</v>
      </c>
      <c r="AB65" s="27">
        <f t="shared" si="4"/>
        <v>-526</v>
      </c>
      <c r="AC65" s="70">
        <v>1000.0</v>
      </c>
      <c r="AD65" s="63">
        <v>0.0</v>
      </c>
      <c r="AE65" s="56">
        <v>3.49997394E8</v>
      </c>
      <c r="AF65" s="56">
        <v>3.49997394E8</v>
      </c>
      <c r="AG65" s="71">
        <f t="shared" si="8"/>
        <v>1</v>
      </c>
      <c r="AH65" s="71">
        <f t="shared" si="7"/>
        <v>1</v>
      </c>
      <c r="AI65" s="60" t="s">
        <v>377</v>
      </c>
      <c r="AJ65" s="38"/>
      <c r="AK65" s="31"/>
      <c r="AL65" s="38"/>
      <c r="AM65" s="39"/>
      <c r="AN65" s="39"/>
      <c r="AO65" s="39"/>
      <c r="AP65" s="54"/>
      <c r="AQ65" s="39"/>
      <c r="AR65" s="38"/>
      <c r="AS65" s="36"/>
    </row>
    <row r="66" ht="99.75" customHeight="1">
      <c r="A66" s="28">
        <v>2024.0</v>
      </c>
      <c r="B66" s="60" t="s">
        <v>367</v>
      </c>
      <c r="C66" s="15" t="s">
        <v>63</v>
      </c>
      <c r="D66" s="60" t="s">
        <v>64</v>
      </c>
      <c r="E66" s="37" t="s">
        <v>378</v>
      </c>
      <c r="F66" s="60" t="s">
        <v>374</v>
      </c>
      <c r="G66" s="60" t="s">
        <v>374</v>
      </c>
      <c r="H66" s="60" t="s">
        <v>163</v>
      </c>
      <c r="I66" s="60" t="s">
        <v>379</v>
      </c>
      <c r="J66" s="60" t="s">
        <v>380</v>
      </c>
      <c r="K66" s="61">
        <v>8.0</v>
      </c>
      <c r="L66" s="73">
        <v>1000.0</v>
      </c>
      <c r="M66" s="70">
        <v>0.0</v>
      </c>
      <c r="N66" s="42">
        <v>3.5E8</v>
      </c>
      <c r="O66" s="56">
        <f>516484387+101639195</f>
        <v>618123582</v>
      </c>
      <c r="P66" s="64">
        <f t="shared" si="2"/>
        <v>968123582</v>
      </c>
      <c r="Q66" s="59">
        <v>0.0</v>
      </c>
      <c r="R66" s="59">
        <v>0.0</v>
      </c>
      <c r="S66" s="65">
        <f t="shared" si="3"/>
        <v>968123582</v>
      </c>
      <c r="T66" s="66" t="s">
        <v>53</v>
      </c>
      <c r="U66" s="66" t="s">
        <v>53</v>
      </c>
      <c r="V66" s="67">
        <v>43441.0</v>
      </c>
      <c r="W66" s="68">
        <v>45678.0</v>
      </c>
      <c r="X66" s="68">
        <v>45921.0</v>
      </c>
      <c r="Y66" s="61">
        <v>0.0</v>
      </c>
      <c r="Z66" s="69">
        <v>0.0</v>
      </c>
      <c r="AA66" s="68">
        <v>45921.0</v>
      </c>
      <c r="AB66" s="27">
        <f t="shared" si="4"/>
        <v>-261</v>
      </c>
      <c r="AC66" s="70">
        <v>1000.0</v>
      </c>
      <c r="AD66" s="63">
        <v>0.0</v>
      </c>
      <c r="AE66" s="56">
        <v>3.49997394E8</v>
      </c>
      <c r="AF66" s="56">
        <v>3.49997394E8</v>
      </c>
      <c r="AG66" s="71">
        <f t="shared" si="8"/>
        <v>1</v>
      </c>
      <c r="AH66" s="71">
        <f t="shared" si="7"/>
        <v>1</v>
      </c>
      <c r="AI66" s="60" t="s">
        <v>381</v>
      </c>
      <c r="AJ66" s="30" t="s">
        <v>382</v>
      </c>
      <c r="AK66" s="31"/>
      <c r="AL66" s="38"/>
      <c r="AM66" s="39"/>
      <c r="AN66" s="39"/>
      <c r="AO66" s="39"/>
      <c r="AP66" s="34"/>
      <c r="AQ66" s="39"/>
      <c r="AR66" s="49"/>
      <c r="AS66" s="36"/>
    </row>
    <row r="67" ht="60.0" customHeight="1">
      <c r="A67" s="28">
        <v>2024.0</v>
      </c>
      <c r="B67" s="60" t="s">
        <v>367</v>
      </c>
      <c r="C67" s="15" t="s">
        <v>63</v>
      </c>
      <c r="D67" s="60" t="s">
        <v>64</v>
      </c>
      <c r="E67" s="37" t="s">
        <v>383</v>
      </c>
      <c r="F67" s="60" t="s">
        <v>384</v>
      </c>
      <c r="G67" s="60" t="s">
        <v>384</v>
      </c>
      <c r="H67" s="60" t="s">
        <v>163</v>
      </c>
      <c r="I67" s="60" t="s">
        <v>385</v>
      </c>
      <c r="J67" s="60" t="s">
        <v>386</v>
      </c>
      <c r="K67" s="61">
        <v>8.0</v>
      </c>
      <c r="L67" s="73">
        <v>1000.0</v>
      </c>
      <c r="M67" s="63"/>
      <c r="N67" s="42">
        <v>3.5E8</v>
      </c>
      <c r="O67" s="56">
        <f>717986901+20000000</f>
        <v>737986901</v>
      </c>
      <c r="P67" s="64">
        <f t="shared" si="2"/>
        <v>1087986901</v>
      </c>
      <c r="Q67" s="56">
        <v>0.0</v>
      </c>
      <c r="R67" s="59">
        <v>0.0</v>
      </c>
      <c r="S67" s="65">
        <f t="shared" si="3"/>
        <v>1087986901</v>
      </c>
      <c r="T67" s="66" t="s">
        <v>53</v>
      </c>
      <c r="U67" s="66" t="s">
        <v>53</v>
      </c>
      <c r="V67" s="67">
        <v>43441.0</v>
      </c>
      <c r="W67" s="68">
        <v>45698.0</v>
      </c>
      <c r="X67" s="68">
        <v>45940.0</v>
      </c>
      <c r="Y67" s="61">
        <v>0.0</v>
      </c>
      <c r="Z67" s="69">
        <v>0.0</v>
      </c>
      <c r="AA67" s="68">
        <v>45940.0</v>
      </c>
      <c r="AB67" s="27">
        <f t="shared" si="4"/>
        <v>-242</v>
      </c>
      <c r="AC67" s="70">
        <v>1000.0</v>
      </c>
      <c r="AD67" s="63">
        <v>0.0</v>
      </c>
      <c r="AE67" s="42">
        <v>3.5E8</v>
      </c>
      <c r="AF67" s="42">
        <v>3.5E8</v>
      </c>
      <c r="AG67" s="71">
        <f t="shared" si="8"/>
        <v>1</v>
      </c>
      <c r="AH67" s="71">
        <f t="shared" si="7"/>
        <v>1</v>
      </c>
      <c r="AI67" s="60" t="s">
        <v>387</v>
      </c>
      <c r="AJ67" s="38"/>
      <c r="AK67" s="31"/>
      <c r="AL67" s="38"/>
      <c r="AM67" s="39"/>
      <c r="AN67" s="39"/>
      <c r="AO67" s="39"/>
      <c r="AP67" s="51"/>
      <c r="AQ67" s="39"/>
      <c r="AR67" s="39"/>
      <c r="AS67" s="36"/>
    </row>
    <row r="68" ht="51.75" customHeight="1">
      <c r="A68" s="28">
        <v>2024.0</v>
      </c>
      <c r="B68" s="60" t="s">
        <v>367</v>
      </c>
      <c r="C68" s="40" t="s">
        <v>63</v>
      </c>
      <c r="D68" s="72" t="s">
        <v>64</v>
      </c>
      <c r="E68" s="37" t="s">
        <v>388</v>
      </c>
      <c r="F68" s="60" t="s">
        <v>389</v>
      </c>
      <c r="G68" s="60" t="s">
        <v>389</v>
      </c>
      <c r="H68" s="60" t="s">
        <v>163</v>
      </c>
      <c r="I68" s="60" t="s">
        <v>390</v>
      </c>
      <c r="J68" s="60" t="s">
        <v>391</v>
      </c>
      <c r="K68" s="60">
        <v>7.0</v>
      </c>
      <c r="L68" s="73">
        <v>280.0</v>
      </c>
      <c r="M68" s="63">
        <v>0.0</v>
      </c>
      <c r="N68" s="42">
        <v>9.8E7</v>
      </c>
      <c r="O68" s="42">
        <v>1.38289769E8</v>
      </c>
      <c r="P68" s="64">
        <f t="shared" si="2"/>
        <v>236289769</v>
      </c>
      <c r="Q68" s="59">
        <v>0.0</v>
      </c>
      <c r="R68" s="59">
        <v>0.0</v>
      </c>
      <c r="S68" s="65">
        <f t="shared" si="3"/>
        <v>236289769</v>
      </c>
      <c r="T68" s="74" t="s">
        <v>53</v>
      </c>
      <c r="U68" s="74" t="s">
        <v>53</v>
      </c>
      <c r="V68" s="75">
        <v>44406.0</v>
      </c>
      <c r="W68" s="76">
        <v>45678.0</v>
      </c>
      <c r="X68" s="76">
        <v>45890.0</v>
      </c>
      <c r="Y68" s="61">
        <v>0.0</v>
      </c>
      <c r="Z68" s="69">
        <v>0.0</v>
      </c>
      <c r="AA68" s="76">
        <v>45890.0</v>
      </c>
      <c r="AB68" s="27">
        <f t="shared" si="4"/>
        <v>-292</v>
      </c>
      <c r="AC68" s="73">
        <v>280.0</v>
      </c>
      <c r="AD68" s="63">
        <v>0.0</v>
      </c>
      <c r="AE68" s="42">
        <v>9.8E7</v>
      </c>
      <c r="AF68" s="42">
        <v>9.8E7</v>
      </c>
      <c r="AG68" s="77">
        <f t="shared" si="8"/>
        <v>1</v>
      </c>
      <c r="AH68" s="77">
        <f t="shared" si="7"/>
        <v>1</v>
      </c>
      <c r="AI68" s="60" t="s">
        <v>392</v>
      </c>
      <c r="AJ68" s="38"/>
      <c r="AK68" s="31"/>
      <c r="AL68" s="38"/>
      <c r="AM68" s="39"/>
      <c r="AN68" s="39"/>
      <c r="AO68" s="39"/>
      <c r="AP68" s="34"/>
      <c r="AQ68" s="39"/>
      <c r="AR68" s="38"/>
      <c r="AS68" s="50"/>
    </row>
    <row r="69" ht="53.25" customHeight="1">
      <c r="A69" s="28">
        <v>2024.0</v>
      </c>
      <c r="B69" s="60" t="s">
        <v>367</v>
      </c>
      <c r="C69" s="40" t="s">
        <v>63</v>
      </c>
      <c r="D69" s="72" t="s">
        <v>64</v>
      </c>
      <c r="E69" s="37" t="s">
        <v>393</v>
      </c>
      <c r="F69" s="60" t="s">
        <v>394</v>
      </c>
      <c r="G69" s="60" t="s">
        <v>394</v>
      </c>
      <c r="H69" s="60" t="s">
        <v>163</v>
      </c>
      <c r="I69" s="60" t="s">
        <v>395</v>
      </c>
      <c r="J69" s="60" t="s">
        <v>396</v>
      </c>
      <c r="K69" s="60">
        <v>5.0</v>
      </c>
      <c r="L69" s="73">
        <v>1000.0</v>
      </c>
      <c r="M69" s="63">
        <v>0.0</v>
      </c>
      <c r="N69" s="42">
        <v>3.49987858E8</v>
      </c>
      <c r="O69" s="42">
        <v>6.05154389E8</v>
      </c>
      <c r="P69" s="64">
        <f t="shared" si="2"/>
        <v>955142247</v>
      </c>
      <c r="Q69" s="59">
        <v>0.0</v>
      </c>
      <c r="R69" s="59">
        <v>0.0</v>
      </c>
      <c r="S69" s="65">
        <f t="shared" si="3"/>
        <v>955142247</v>
      </c>
      <c r="T69" s="74" t="s">
        <v>53</v>
      </c>
      <c r="U69" s="74" t="s">
        <v>53</v>
      </c>
      <c r="V69" s="75">
        <v>44406.0</v>
      </c>
      <c r="W69" s="76">
        <v>45502.0</v>
      </c>
      <c r="X69" s="76">
        <v>45656.0</v>
      </c>
      <c r="Y69" s="61">
        <v>0.0</v>
      </c>
      <c r="Z69" s="69">
        <v>0.0</v>
      </c>
      <c r="AA69" s="76">
        <v>45656.0</v>
      </c>
      <c r="AB69" s="27">
        <f t="shared" si="4"/>
        <v>-526</v>
      </c>
      <c r="AC69" s="73">
        <v>1000.0</v>
      </c>
      <c r="AD69" s="63">
        <v>0.0</v>
      </c>
      <c r="AE69" s="42">
        <v>3.49987858E8</v>
      </c>
      <c r="AF69" s="42">
        <v>3.49987858E8</v>
      </c>
      <c r="AG69" s="77">
        <f t="shared" si="8"/>
        <v>1</v>
      </c>
      <c r="AH69" s="77">
        <f t="shared" si="7"/>
        <v>1</v>
      </c>
      <c r="AI69" s="60" t="s">
        <v>53</v>
      </c>
      <c r="AJ69" s="38"/>
      <c r="AK69" s="31"/>
      <c r="AL69" s="38"/>
      <c r="AM69" s="39"/>
      <c r="AN69" s="39"/>
      <c r="AO69" s="39"/>
      <c r="AP69" s="34"/>
      <c r="AQ69" s="39"/>
      <c r="AR69" s="35"/>
      <c r="AS69" s="50"/>
    </row>
    <row r="70" ht="53.25" customHeight="1">
      <c r="A70" s="28">
        <v>2024.0</v>
      </c>
      <c r="B70" s="60" t="s">
        <v>367</v>
      </c>
      <c r="C70" s="40" t="s">
        <v>63</v>
      </c>
      <c r="D70" s="72" t="s">
        <v>64</v>
      </c>
      <c r="E70" s="37" t="s">
        <v>397</v>
      </c>
      <c r="F70" s="60" t="s">
        <v>398</v>
      </c>
      <c r="G70" s="60" t="s">
        <v>398</v>
      </c>
      <c r="H70" s="60" t="s">
        <v>163</v>
      </c>
      <c r="I70" s="60" t="s">
        <v>399</v>
      </c>
      <c r="J70" s="60" t="s">
        <v>400</v>
      </c>
      <c r="K70" s="60">
        <v>5.0</v>
      </c>
      <c r="L70" s="73">
        <v>1000.0</v>
      </c>
      <c r="M70" s="63">
        <v>0.0</v>
      </c>
      <c r="N70" s="42">
        <v>3.49998384E8</v>
      </c>
      <c r="O70" s="42">
        <v>3.00000181E8</v>
      </c>
      <c r="P70" s="64">
        <f t="shared" si="2"/>
        <v>649998565</v>
      </c>
      <c r="Q70" s="59">
        <v>0.0</v>
      </c>
      <c r="R70" s="59">
        <v>0.0</v>
      </c>
      <c r="S70" s="65">
        <f t="shared" si="3"/>
        <v>649998565</v>
      </c>
      <c r="T70" s="74" t="s">
        <v>53</v>
      </c>
      <c r="U70" s="74" t="s">
        <v>53</v>
      </c>
      <c r="V70" s="75">
        <v>44406.0</v>
      </c>
      <c r="W70" s="76">
        <v>45498.0</v>
      </c>
      <c r="X70" s="76">
        <v>45656.0</v>
      </c>
      <c r="Y70" s="61">
        <v>0.0</v>
      </c>
      <c r="Z70" s="69">
        <v>0.0</v>
      </c>
      <c r="AA70" s="76">
        <v>45656.0</v>
      </c>
      <c r="AB70" s="27">
        <f t="shared" si="4"/>
        <v>-526</v>
      </c>
      <c r="AC70" s="73">
        <v>1000.0</v>
      </c>
      <c r="AD70" s="63">
        <v>0.0</v>
      </c>
      <c r="AE70" s="42">
        <v>3.49998384E8</v>
      </c>
      <c r="AF70" s="42">
        <v>3.49998384E8</v>
      </c>
      <c r="AG70" s="77">
        <f t="shared" si="8"/>
        <v>1</v>
      </c>
      <c r="AH70" s="77">
        <f t="shared" si="7"/>
        <v>1</v>
      </c>
      <c r="AI70" s="60" t="s">
        <v>401</v>
      </c>
      <c r="AJ70" s="38"/>
      <c r="AK70" s="31"/>
      <c r="AL70" s="38"/>
      <c r="AM70" s="39"/>
      <c r="AN70" s="39"/>
      <c r="AO70" s="39"/>
      <c r="AP70" s="34"/>
      <c r="AQ70" s="39"/>
      <c r="AR70" s="49"/>
      <c r="AS70" s="50"/>
    </row>
    <row r="71" ht="89.25" customHeight="1">
      <c r="A71" s="18">
        <v>2024.0</v>
      </c>
      <c r="B71" s="60" t="s">
        <v>402</v>
      </c>
      <c r="C71" s="40" t="s">
        <v>63</v>
      </c>
      <c r="D71" s="72" t="s">
        <v>64</v>
      </c>
      <c r="E71" s="37" t="s">
        <v>403</v>
      </c>
      <c r="F71" s="60" t="s">
        <v>404</v>
      </c>
      <c r="G71" s="60" t="s">
        <v>405</v>
      </c>
      <c r="H71" s="60" t="s">
        <v>67</v>
      </c>
      <c r="I71" s="60" t="s">
        <v>75</v>
      </c>
      <c r="J71" s="60"/>
      <c r="K71" s="60">
        <v>8.0</v>
      </c>
      <c r="L71" s="73">
        <v>21700.0</v>
      </c>
      <c r="M71" s="63">
        <v>0.0</v>
      </c>
      <c r="N71" s="42">
        <v>7.595E9</v>
      </c>
      <c r="O71" s="42">
        <v>4.458755847E9</v>
      </c>
      <c r="P71" s="64">
        <f t="shared" si="2"/>
        <v>12053755847</v>
      </c>
      <c r="Q71" s="59">
        <v>0.0</v>
      </c>
      <c r="R71" s="59">
        <v>0.0</v>
      </c>
      <c r="S71" s="65">
        <f t="shared" si="3"/>
        <v>12053755847</v>
      </c>
      <c r="T71" s="78" t="s">
        <v>53</v>
      </c>
      <c r="U71" s="78" t="s">
        <v>70</v>
      </c>
      <c r="V71" s="75">
        <v>44406.0</v>
      </c>
      <c r="W71" s="76">
        <v>45653.0</v>
      </c>
      <c r="X71" s="76">
        <v>45991.0</v>
      </c>
      <c r="Y71" s="61">
        <v>4.0</v>
      </c>
      <c r="Z71" s="69">
        <v>0.0</v>
      </c>
      <c r="AA71" s="76">
        <v>46111.0</v>
      </c>
      <c r="AB71" s="27">
        <f t="shared" si="4"/>
        <v>-71</v>
      </c>
      <c r="AC71" s="73">
        <v>20615.0</v>
      </c>
      <c r="AD71" s="63">
        <v>0.0</v>
      </c>
      <c r="AE71" s="42">
        <v>7.595E9</v>
      </c>
      <c r="AF71" s="42">
        <v>5.4684E9</v>
      </c>
      <c r="AG71" s="77">
        <f t="shared" si="8"/>
        <v>0.95</v>
      </c>
      <c r="AH71" s="77">
        <f t="shared" si="7"/>
        <v>0.72</v>
      </c>
      <c r="AI71" s="60" t="s">
        <v>406</v>
      </c>
      <c r="AJ71" s="38"/>
      <c r="AK71" s="31"/>
      <c r="AL71" s="38"/>
      <c r="AM71" s="39"/>
      <c r="AN71" s="39"/>
      <c r="AO71" s="39"/>
      <c r="AP71" s="51"/>
      <c r="AQ71" s="39"/>
      <c r="AR71" s="39"/>
    </row>
    <row r="72" ht="15.75" customHeight="1">
      <c r="A72" s="28">
        <v>2025.0</v>
      </c>
      <c r="B72" s="60" t="s">
        <v>62</v>
      </c>
      <c r="C72" s="40" t="s">
        <v>63</v>
      </c>
      <c r="D72" s="72" t="s">
        <v>64</v>
      </c>
      <c r="E72" s="37" t="s">
        <v>407</v>
      </c>
      <c r="F72" s="60" t="s">
        <v>73</v>
      </c>
      <c r="G72" s="60" t="str">
        <f t="shared" ref="G72:G82" si="9">F72</f>
        <v>ZARAGOZA</v>
      </c>
      <c r="H72" s="60" t="s">
        <v>74</v>
      </c>
      <c r="I72" s="60" t="s">
        <v>408</v>
      </c>
      <c r="J72" s="60" t="s">
        <v>409</v>
      </c>
      <c r="K72" s="60">
        <v>6.0</v>
      </c>
      <c r="L72" s="73">
        <v>500.0</v>
      </c>
      <c r="M72" s="63">
        <v>0.0</v>
      </c>
      <c r="N72" s="42">
        <v>1.75E8</v>
      </c>
      <c r="O72" s="42">
        <v>2.351437118E9</v>
      </c>
      <c r="P72" s="64">
        <f t="shared" si="2"/>
        <v>2526437118</v>
      </c>
      <c r="Q72" s="56">
        <v>0.0</v>
      </c>
      <c r="R72" s="59">
        <v>0.0</v>
      </c>
      <c r="S72" s="65">
        <f t="shared" si="3"/>
        <v>2526437118</v>
      </c>
      <c r="T72" s="78" t="s">
        <v>70</v>
      </c>
      <c r="U72" s="78" t="s">
        <v>70</v>
      </c>
      <c r="V72" s="75">
        <v>44406.0</v>
      </c>
      <c r="W72" s="76">
        <v>45973.0</v>
      </c>
      <c r="X72" s="76">
        <v>46154.0</v>
      </c>
      <c r="Y72" s="61">
        <v>3.0</v>
      </c>
      <c r="Z72" s="69">
        <v>0.0</v>
      </c>
      <c r="AA72" s="76">
        <v>46246.0</v>
      </c>
      <c r="AB72" s="27">
        <f t="shared" si="4"/>
        <v>64</v>
      </c>
      <c r="AC72" s="73">
        <v>0.0</v>
      </c>
      <c r="AD72" s="63">
        <v>0.0</v>
      </c>
      <c r="AE72" s="42">
        <f t="shared" ref="AE72:AE82" si="10">N72</f>
        <v>175000000</v>
      </c>
      <c r="AF72" s="42">
        <v>1.75E8</v>
      </c>
      <c r="AG72" s="77">
        <f t="shared" si="8"/>
        <v>0</v>
      </c>
      <c r="AH72" s="77">
        <f t="shared" si="7"/>
        <v>1</v>
      </c>
      <c r="AI72" s="60" t="s">
        <v>410</v>
      </c>
      <c r="AJ72" s="38"/>
      <c r="AK72" s="31"/>
      <c r="AL72" s="38"/>
      <c r="AM72" s="39"/>
      <c r="AN72" s="39"/>
      <c r="AO72" s="39"/>
      <c r="AP72" s="34"/>
      <c r="AQ72" s="39"/>
      <c r="AR72" s="35"/>
      <c r="AS72" s="50"/>
    </row>
    <row r="73" ht="48.75" customHeight="1">
      <c r="A73" s="28">
        <v>2025.0</v>
      </c>
      <c r="B73" s="60" t="s">
        <v>78</v>
      </c>
      <c r="C73" s="40" t="s">
        <v>63</v>
      </c>
      <c r="D73" s="72" t="s">
        <v>64</v>
      </c>
      <c r="E73" s="37" t="s">
        <v>411</v>
      </c>
      <c r="F73" s="60" t="s">
        <v>80</v>
      </c>
      <c r="G73" s="60" t="str">
        <f t="shared" si="9"/>
        <v>MACEO</v>
      </c>
      <c r="H73" s="60" t="s">
        <v>81</v>
      </c>
      <c r="I73" s="60" t="s">
        <v>412</v>
      </c>
      <c r="J73" s="60" t="s">
        <v>413</v>
      </c>
      <c r="K73" s="60">
        <v>4.0</v>
      </c>
      <c r="L73" s="73">
        <v>1000.0</v>
      </c>
      <c r="M73" s="63">
        <v>0.0</v>
      </c>
      <c r="N73" s="42">
        <v>3.5E8</v>
      </c>
      <c r="O73" s="42">
        <v>0.0</v>
      </c>
      <c r="P73" s="64">
        <f t="shared" si="2"/>
        <v>350000000</v>
      </c>
      <c r="Q73" s="59">
        <v>0.0</v>
      </c>
      <c r="R73" s="59">
        <v>0.0</v>
      </c>
      <c r="S73" s="65">
        <f t="shared" si="3"/>
        <v>350000000</v>
      </c>
      <c r="T73" s="74" t="s">
        <v>53</v>
      </c>
      <c r="U73" s="74" t="s">
        <v>53</v>
      </c>
      <c r="V73" s="75">
        <v>44406.0</v>
      </c>
      <c r="W73" s="76">
        <v>45881.0</v>
      </c>
      <c r="X73" s="76">
        <v>46022.0</v>
      </c>
      <c r="Y73" s="61">
        <v>0.0</v>
      </c>
      <c r="Z73" s="69">
        <v>0.0</v>
      </c>
      <c r="AA73" s="76">
        <v>46022.0</v>
      </c>
      <c r="AB73" s="27">
        <f t="shared" si="4"/>
        <v>-160</v>
      </c>
      <c r="AC73" s="73">
        <v>1000.0</v>
      </c>
      <c r="AD73" s="63">
        <v>0.0</v>
      </c>
      <c r="AE73" s="42">
        <f t="shared" si="10"/>
        <v>350000000</v>
      </c>
      <c r="AF73" s="42">
        <v>3.5E8</v>
      </c>
      <c r="AG73" s="77">
        <f t="shared" si="8"/>
        <v>1</v>
      </c>
      <c r="AH73" s="77">
        <f t="shared" si="7"/>
        <v>1</v>
      </c>
      <c r="AI73" s="60" t="s">
        <v>414</v>
      </c>
      <c r="AJ73" s="38"/>
      <c r="AK73" s="31"/>
      <c r="AL73" s="38"/>
      <c r="AM73" s="39"/>
      <c r="AN73" s="39"/>
      <c r="AO73" s="39"/>
      <c r="AP73" s="34"/>
      <c r="AQ73" s="39"/>
      <c r="AR73" s="35"/>
      <c r="AS73" s="50"/>
      <c r="AT73" s="50"/>
      <c r="AU73" s="50"/>
    </row>
    <row r="74" ht="102.0" customHeight="1">
      <c r="A74" s="28">
        <v>2025.0</v>
      </c>
      <c r="B74" s="60" t="s">
        <v>78</v>
      </c>
      <c r="C74" s="40" t="s">
        <v>63</v>
      </c>
      <c r="D74" s="72" t="s">
        <v>64</v>
      </c>
      <c r="E74" s="37" t="s">
        <v>415</v>
      </c>
      <c r="F74" s="60" t="s">
        <v>86</v>
      </c>
      <c r="G74" s="60" t="str">
        <f t="shared" si="9"/>
        <v>PUERTO TRIUNFO</v>
      </c>
      <c r="H74" s="60" t="s">
        <v>81</v>
      </c>
      <c r="I74" s="60" t="s">
        <v>416</v>
      </c>
      <c r="J74" s="60" t="s">
        <v>417</v>
      </c>
      <c r="K74" s="60">
        <v>2.0</v>
      </c>
      <c r="L74" s="73">
        <v>200.0</v>
      </c>
      <c r="M74" s="63">
        <v>0.0</v>
      </c>
      <c r="N74" s="42">
        <v>7.0E7</v>
      </c>
      <c r="O74" s="42">
        <v>3.67622813E8</v>
      </c>
      <c r="P74" s="64">
        <f t="shared" si="2"/>
        <v>437622813</v>
      </c>
      <c r="Q74" s="56">
        <v>0.0</v>
      </c>
      <c r="R74" s="59">
        <v>0.0</v>
      </c>
      <c r="S74" s="65">
        <f t="shared" si="3"/>
        <v>437622813</v>
      </c>
      <c r="T74" s="78" t="s">
        <v>53</v>
      </c>
      <c r="U74" s="78" t="s">
        <v>53</v>
      </c>
      <c r="V74" s="75">
        <v>44406.0</v>
      </c>
      <c r="W74" s="76">
        <v>45966.0</v>
      </c>
      <c r="X74" s="76">
        <v>46022.0</v>
      </c>
      <c r="Y74" s="61">
        <v>0.0</v>
      </c>
      <c r="Z74" s="69">
        <v>0.0</v>
      </c>
      <c r="AA74" s="76">
        <v>46022.0</v>
      </c>
      <c r="AB74" s="27">
        <f t="shared" si="4"/>
        <v>-160</v>
      </c>
      <c r="AC74" s="73">
        <v>200.0</v>
      </c>
      <c r="AD74" s="63">
        <v>0.0</v>
      </c>
      <c r="AE74" s="42">
        <f t="shared" si="10"/>
        <v>70000000</v>
      </c>
      <c r="AF74" s="42">
        <v>7.0E7</v>
      </c>
      <c r="AG74" s="77">
        <f t="shared" si="8"/>
        <v>1</v>
      </c>
      <c r="AH74" s="77">
        <f t="shared" si="7"/>
        <v>1</v>
      </c>
      <c r="AI74" s="60" t="s">
        <v>351</v>
      </c>
      <c r="AJ74" s="38"/>
      <c r="AK74" s="31"/>
      <c r="AL74" s="38"/>
      <c r="AM74" s="39"/>
      <c r="AN74" s="39"/>
      <c r="AO74" s="39"/>
      <c r="AP74" s="34"/>
      <c r="AQ74" s="39"/>
      <c r="AR74" s="35"/>
      <c r="AS74" s="50"/>
      <c r="AT74" s="52" t="s">
        <v>90</v>
      </c>
      <c r="AU74" s="50"/>
    </row>
    <row r="75" ht="102.0" customHeight="1">
      <c r="A75" s="28">
        <v>2025.0</v>
      </c>
      <c r="B75" s="60" t="s">
        <v>78</v>
      </c>
      <c r="C75" s="40" t="s">
        <v>63</v>
      </c>
      <c r="D75" s="72" t="s">
        <v>64</v>
      </c>
      <c r="E75" s="37" t="s">
        <v>418</v>
      </c>
      <c r="F75" s="60" t="s">
        <v>80</v>
      </c>
      <c r="G75" s="60" t="str">
        <f t="shared" si="9"/>
        <v>MACEO</v>
      </c>
      <c r="H75" s="60" t="s">
        <v>81</v>
      </c>
      <c r="I75" s="60" t="s">
        <v>419</v>
      </c>
      <c r="J75" s="60" t="s">
        <v>420</v>
      </c>
      <c r="K75" s="60">
        <v>2.0</v>
      </c>
      <c r="L75" s="73">
        <v>200.0</v>
      </c>
      <c r="M75" s="63">
        <v>0.0</v>
      </c>
      <c r="N75" s="42">
        <v>7.0E7</v>
      </c>
      <c r="O75" s="42">
        <v>6.76054008E8</v>
      </c>
      <c r="P75" s="64">
        <f t="shared" si="2"/>
        <v>746054008</v>
      </c>
      <c r="Q75" s="56">
        <v>0.0</v>
      </c>
      <c r="R75" s="59">
        <v>0.0</v>
      </c>
      <c r="S75" s="65">
        <f t="shared" si="3"/>
        <v>746054008</v>
      </c>
      <c r="T75" s="78" t="s">
        <v>53</v>
      </c>
      <c r="U75" s="78" t="s">
        <v>53</v>
      </c>
      <c r="V75" s="75">
        <v>44406.0</v>
      </c>
      <c r="W75" s="76">
        <v>45966.0</v>
      </c>
      <c r="X75" s="76">
        <v>46022.0</v>
      </c>
      <c r="Y75" s="61">
        <v>0.0</v>
      </c>
      <c r="Z75" s="69">
        <v>0.0</v>
      </c>
      <c r="AA75" s="76">
        <v>46022.0</v>
      </c>
      <c r="AB75" s="27">
        <f t="shared" si="4"/>
        <v>-160</v>
      </c>
      <c r="AC75" s="73">
        <v>200.0</v>
      </c>
      <c r="AD75" s="63">
        <v>0.0</v>
      </c>
      <c r="AE75" s="42">
        <f t="shared" si="10"/>
        <v>70000000</v>
      </c>
      <c r="AF75" s="42">
        <v>7.0E7</v>
      </c>
      <c r="AG75" s="77">
        <f t="shared" si="8"/>
        <v>1</v>
      </c>
      <c r="AH75" s="77">
        <f t="shared" si="7"/>
        <v>1</v>
      </c>
      <c r="AI75" s="60" t="s">
        <v>351</v>
      </c>
      <c r="AJ75" s="38"/>
      <c r="AK75" s="31"/>
      <c r="AL75" s="38"/>
      <c r="AM75" s="39"/>
      <c r="AN75" s="39"/>
      <c r="AO75" s="39"/>
      <c r="AP75" s="34"/>
      <c r="AQ75" s="39"/>
      <c r="AR75" s="35"/>
      <c r="AS75" s="50"/>
      <c r="AT75" s="52" t="s">
        <v>90</v>
      </c>
      <c r="AU75" s="50"/>
    </row>
    <row r="76" ht="102.0" customHeight="1">
      <c r="A76" s="28">
        <v>2025.0</v>
      </c>
      <c r="B76" s="60" t="s">
        <v>78</v>
      </c>
      <c r="C76" s="40" t="s">
        <v>63</v>
      </c>
      <c r="D76" s="72" t="s">
        <v>64</v>
      </c>
      <c r="E76" s="37" t="s">
        <v>421</v>
      </c>
      <c r="F76" s="60" t="s">
        <v>103</v>
      </c>
      <c r="G76" s="60" t="str">
        <f t="shared" si="9"/>
        <v>YOLOMBÓ</v>
      </c>
      <c r="H76" s="60" t="s">
        <v>93</v>
      </c>
      <c r="I76" s="60" t="s">
        <v>422</v>
      </c>
      <c r="J76" s="60" t="s">
        <v>423</v>
      </c>
      <c r="K76" s="60">
        <v>2.0</v>
      </c>
      <c r="L76" s="73">
        <v>500.0</v>
      </c>
      <c r="M76" s="63">
        <v>0.0</v>
      </c>
      <c r="N76" s="42">
        <v>1.75E8</v>
      </c>
      <c r="O76" s="42">
        <v>2.47359336E8</v>
      </c>
      <c r="P76" s="64">
        <f t="shared" si="2"/>
        <v>422359336</v>
      </c>
      <c r="Q76" s="56">
        <v>0.0</v>
      </c>
      <c r="R76" s="59">
        <v>0.0</v>
      </c>
      <c r="S76" s="65">
        <f t="shared" si="3"/>
        <v>422359336</v>
      </c>
      <c r="T76" s="78" t="s">
        <v>53</v>
      </c>
      <c r="U76" s="78" t="s">
        <v>70</v>
      </c>
      <c r="V76" s="75">
        <v>44406.0</v>
      </c>
      <c r="W76" s="76">
        <v>45966.0</v>
      </c>
      <c r="X76" s="76">
        <v>46022.0</v>
      </c>
      <c r="Y76" s="61">
        <v>0.0</v>
      </c>
      <c r="Z76" s="69">
        <v>0.0</v>
      </c>
      <c r="AA76" s="76">
        <v>46022.0</v>
      </c>
      <c r="AB76" s="27">
        <f t="shared" si="4"/>
        <v>-160</v>
      </c>
      <c r="AC76" s="73">
        <v>475.0</v>
      </c>
      <c r="AD76" s="63">
        <v>0.0</v>
      </c>
      <c r="AE76" s="42">
        <f t="shared" si="10"/>
        <v>175000000</v>
      </c>
      <c r="AF76" s="42">
        <v>7.0E7</v>
      </c>
      <c r="AG76" s="77">
        <f t="shared" si="8"/>
        <v>0.95</v>
      </c>
      <c r="AH76" s="77">
        <f t="shared" si="7"/>
        <v>0.4</v>
      </c>
      <c r="AI76" s="60" t="s">
        <v>424</v>
      </c>
      <c r="AJ76" s="38"/>
      <c r="AK76" s="31"/>
      <c r="AL76" s="38"/>
      <c r="AM76" s="39"/>
      <c r="AN76" s="39"/>
      <c r="AO76" s="39"/>
      <c r="AP76" s="34"/>
      <c r="AQ76" s="39"/>
      <c r="AR76" s="35"/>
      <c r="AS76" s="50"/>
      <c r="AT76" s="52" t="s">
        <v>90</v>
      </c>
      <c r="AU76" s="50"/>
    </row>
    <row r="77" ht="102.0" customHeight="1">
      <c r="A77" s="28">
        <v>2025.0</v>
      </c>
      <c r="B77" s="60" t="s">
        <v>78</v>
      </c>
      <c r="C77" s="40" t="s">
        <v>63</v>
      </c>
      <c r="D77" s="72" t="s">
        <v>64</v>
      </c>
      <c r="E77" s="37" t="s">
        <v>425</v>
      </c>
      <c r="F77" s="60" t="s">
        <v>297</v>
      </c>
      <c r="G77" s="60" t="str">
        <f t="shared" si="9"/>
        <v>SAN VICENTE DE FERRER</v>
      </c>
      <c r="H77" s="60" t="s">
        <v>109</v>
      </c>
      <c r="I77" s="60" t="s">
        <v>426</v>
      </c>
      <c r="J77" s="60" t="s">
        <v>427</v>
      </c>
      <c r="K77" s="60">
        <v>1.5</v>
      </c>
      <c r="L77" s="73">
        <v>500.0</v>
      </c>
      <c r="M77" s="63">
        <v>0.0</v>
      </c>
      <c r="N77" s="42">
        <v>1.75E8</v>
      </c>
      <c r="O77" s="42">
        <v>0.0</v>
      </c>
      <c r="P77" s="64">
        <f t="shared" si="2"/>
        <v>175000000</v>
      </c>
      <c r="Q77" s="56">
        <v>0.0</v>
      </c>
      <c r="R77" s="59">
        <v>0.0</v>
      </c>
      <c r="S77" s="65">
        <f t="shared" si="3"/>
        <v>175000000</v>
      </c>
      <c r="T77" s="78" t="s">
        <v>53</v>
      </c>
      <c r="U77" s="78" t="s">
        <v>53</v>
      </c>
      <c r="V77" s="75">
        <v>44406.0</v>
      </c>
      <c r="W77" s="76">
        <v>45975.0</v>
      </c>
      <c r="X77" s="76">
        <v>46022.0</v>
      </c>
      <c r="Y77" s="61">
        <v>0.0</v>
      </c>
      <c r="Z77" s="69">
        <v>0.0</v>
      </c>
      <c r="AA77" s="76">
        <v>46022.0</v>
      </c>
      <c r="AB77" s="27">
        <f t="shared" si="4"/>
        <v>-160</v>
      </c>
      <c r="AC77" s="73">
        <v>475.0</v>
      </c>
      <c r="AD77" s="63">
        <v>0.0</v>
      </c>
      <c r="AE77" s="42">
        <f t="shared" si="10"/>
        <v>175000000</v>
      </c>
      <c r="AF77" s="42">
        <v>1.75E8</v>
      </c>
      <c r="AG77" s="77">
        <f t="shared" si="8"/>
        <v>0.95</v>
      </c>
      <c r="AH77" s="77">
        <f t="shared" si="7"/>
        <v>1</v>
      </c>
      <c r="AI77" s="60" t="s">
        <v>220</v>
      </c>
      <c r="AJ77" s="38"/>
      <c r="AK77" s="31"/>
      <c r="AL77" s="38"/>
      <c r="AM77" s="39"/>
      <c r="AN77" s="39"/>
      <c r="AO77" s="39"/>
      <c r="AP77" s="34"/>
      <c r="AQ77" s="39"/>
      <c r="AR77" s="35"/>
      <c r="AS77" s="50"/>
      <c r="AT77" s="52" t="s">
        <v>90</v>
      </c>
      <c r="AU77" s="50"/>
    </row>
    <row r="78" ht="102.0" customHeight="1">
      <c r="A78" s="28">
        <v>2025.0</v>
      </c>
      <c r="B78" s="60" t="s">
        <v>113</v>
      </c>
      <c r="C78" s="40" t="s">
        <v>63</v>
      </c>
      <c r="D78" s="72" t="s">
        <v>64</v>
      </c>
      <c r="E78" s="37" t="s">
        <v>428</v>
      </c>
      <c r="F78" s="60" t="s">
        <v>429</v>
      </c>
      <c r="G78" s="60" t="str">
        <f t="shared" si="9"/>
        <v>GIRARDOTA</v>
      </c>
      <c r="H78" s="60" t="s">
        <v>174</v>
      </c>
      <c r="I78" s="60" t="s">
        <v>430</v>
      </c>
      <c r="J78" s="60" t="s">
        <v>431</v>
      </c>
      <c r="K78" s="60">
        <v>7.0</v>
      </c>
      <c r="L78" s="73">
        <v>530.0</v>
      </c>
      <c r="M78" s="63">
        <v>0.0</v>
      </c>
      <c r="N78" s="42">
        <v>1.80782009E8</v>
      </c>
      <c r="O78" s="42">
        <v>2.25E8</v>
      </c>
      <c r="P78" s="64">
        <f t="shared" si="2"/>
        <v>405782009</v>
      </c>
      <c r="Q78" s="59">
        <v>0.0</v>
      </c>
      <c r="R78" s="59">
        <v>0.0</v>
      </c>
      <c r="S78" s="65">
        <f t="shared" si="3"/>
        <v>405782009</v>
      </c>
      <c r="T78" s="74" t="s">
        <v>53</v>
      </c>
      <c r="U78" s="74" t="s">
        <v>53</v>
      </c>
      <c r="V78" s="75">
        <v>44406.0</v>
      </c>
      <c r="W78" s="76">
        <v>45770.0</v>
      </c>
      <c r="X78" s="76">
        <v>45984.0</v>
      </c>
      <c r="Y78" s="61">
        <v>0.0</v>
      </c>
      <c r="Z78" s="69">
        <v>0.0</v>
      </c>
      <c r="AA78" s="76">
        <v>45984.0</v>
      </c>
      <c r="AB78" s="27">
        <f t="shared" si="4"/>
        <v>-198</v>
      </c>
      <c r="AC78" s="73">
        <v>530.0</v>
      </c>
      <c r="AD78" s="63">
        <v>0.0</v>
      </c>
      <c r="AE78" s="42">
        <f t="shared" si="10"/>
        <v>180782009</v>
      </c>
      <c r="AF78" s="42">
        <v>1.80782009E8</v>
      </c>
      <c r="AG78" s="77">
        <f t="shared" si="8"/>
        <v>1</v>
      </c>
      <c r="AH78" s="77">
        <f t="shared" si="7"/>
        <v>1</v>
      </c>
      <c r="AI78" s="60" t="s">
        <v>432</v>
      </c>
      <c r="AJ78" s="38"/>
      <c r="AK78" s="31"/>
      <c r="AL78" s="38"/>
      <c r="AM78" s="39"/>
      <c r="AN78" s="39"/>
      <c r="AO78" s="39"/>
      <c r="AP78" s="34"/>
      <c r="AQ78" s="39"/>
      <c r="AR78" s="35"/>
      <c r="AS78" s="50"/>
      <c r="AT78" s="52" t="s">
        <v>90</v>
      </c>
      <c r="AU78" s="50"/>
    </row>
    <row r="79" ht="102.0" customHeight="1">
      <c r="A79" s="28">
        <v>2025.0</v>
      </c>
      <c r="B79" s="60" t="s">
        <v>113</v>
      </c>
      <c r="C79" s="40" t="s">
        <v>63</v>
      </c>
      <c r="D79" s="72" t="s">
        <v>64</v>
      </c>
      <c r="E79" s="37" t="s">
        <v>433</v>
      </c>
      <c r="F79" s="60" t="s">
        <v>125</v>
      </c>
      <c r="G79" s="60" t="str">
        <f t="shared" si="9"/>
        <v>OLAYA</v>
      </c>
      <c r="H79" s="60" t="s">
        <v>116</v>
      </c>
      <c r="I79" s="60" t="s">
        <v>434</v>
      </c>
      <c r="J79" s="60" t="s">
        <v>435</v>
      </c>
      <c r="K79" s="60">
        <v>5.0</v>
      </c>
      <c r="L79" s="73">
        <v>300.0</v>
      </c>
      <c r="M79" s="63">
        <v>0.0</v>
      </c>
      <c r="N79" s="42">
        <v>1.05E8</v>
      </c>
      <c r="O79" s="42">
        <v>1.78629412E8</v>
      </c>
      <c r="P79" s="64">
        <f t="shared" si="2"/>
        <v>283629412</v>
      </c>
      <c r="Q79" s="56">
        <v>0.0</v>
      </c>
      <c r="R79" s="59">
        <v>0.0</v>
      </c>
      <c r="S79" s="65">
        <f t="shared" si="3"/>
        <v>283629412</v>
      </c>
      <c r="T79" s="78" t="s">
        <v>53</v>
      </c>
      <c r="U79" s="78" t="s">
        <v>70</v>
      </c>
      <c r="V79" s="75">
        <v>44406.0</v>
      </c>
      <c r="W79" s="76">
        <v>45968.0</v>
      </c>
      <c r="X79" s="76">
        <v>46022.0</v>
      </c>
      <c r="Y79" s="61">
        <v>0.0</v>
      </c>
      <c r="Z79" s="69">
        <v>0.0</v>
      </c>
      <c r="AA79" s="76">
        <v>46022.0</v>
      </c>
      <c r="AB79" s="27">
        <f t="shared" si="4"/>
        <v>-160</v>
      </c>
      <c r="AC79" s="73">
        <v>150.0</v>
      </c>
      <c r="AD79" s="63">
        <v>0.0</v>
      </c>
      <c r="AE79" s="42">
        <f t="shared" si="10"/>
        <v>105000000</v>
      </c>
      <c r="AF79" s="42">
        <v>1.05E8</v>
      </c>
      <c r="AG79" s="77">
        <f t="shared" si="8"/>
        <v>0.5</v>
      </c>
      <c r="AH79" s="77">
        <f t="shared" si="7"/>
        <v>1</v>
      </c>
      <c r="AI79" s="60" t="s">
        <v>436</v>
      </c>
      <c r="AJ79" s="38"/>
      <c r="AK79" s="31"/>
      <c r="AL79" s="38"/>
      <c r="AM79" s="39"/>
      <c r="AN79" s="39"/>
      <c r="AO79" s="39"/>
      <c r="AP79" s="34"/>
      <c r="AQ79" s="39"/>
      <c r="AR79" s="35"/>
      <c r="AS79" s="50"/>
      <c r="AT79" s="52" t="s">
        <v>90</v>
      </c>
      <c r="AU79" s="50"/>
    </row>
    <row r="80" ht="102.0" customHeight="1">
      <c r="A80" s="28">
        <v>2025.0</v>
      </c>
      <c r="B80" s="60" t="s">
        <v>113</v>
      </c>
      <c r="C80" s="40" t="s">
        <v>63</v>
      </c>
      <c r="D80" s="72" t="s">
        <v>64</v>
      </c>
      <c r="E80" s="37" t="s">
        <v>437</v>
      </c>
      <c r="F80" s="60" t="s">
        <v>130</v>
      </c>
      <c r="G80" s="60" t="str">
        <f t="shared" si="9"/>
        <v>SAN JERÓNIMO</v>
      </c>
      <c r="H80" s="60" t="s">
        <v>116</v>
      </c>
      <c r="I80" s="60" t="s">
        <v>438</v>
      </c>
      <c r="J80" s="60" t="s">
        <v>439</v>
      </c>
      <c r="K80" s="60">
        <v>2.0</v>
      </c>
      <c r="L80" s="73">
        <v>500.0</v>
      </c>
      <c r="M80" s="63">
        <v>0.0</v>
      </c>
      <c r="N80" s="42">
        <v>1.75E8</v>
      </c>
      <c r="O80" s="42">
        <v>2.86706175E8</v>
      </c>
      <c r="P80" s="64">
        <f t="shared" si="2"/>
        <v>461706175</v>
      </c>
      <c r="Q80" s="56">
        <v>0.0</v>
      </c>
      <c r="R80" s="59">
        <v>0.0</v>
      </c>
      <c r="S80" s="65">
        <f t="shared" si="3"/>
        <v>461706175</v>
      </c>
      <c r="T80" s="78" t="s">
        <v>53</v>
      </c>
      <c r="U80" s="78" t="s">
        <v>53</v>
      </c>
      <c r="V80" s="75">
        <v>44406.0</v>
      </c>
      <c r="W80" s="76">
        <v>45957.0</v>
      </c>
      <c r="X80" s="76">
        <v>46018.0</v>
      </c>
      <c r="Y80" s="61">
        <v>0.0</v>
      </c>
      <c r="Z80" s="69">
        <v>0.0</v>
      </c>
      <c r="AA80" s="76">
        <v>46018.0</v>
      </c>
      <c r="AB80" s="27">
        <f t="shared" si="4"/>
        <v>-164</v>
      </c>
      <c r="AC80" s="73">
        <v>500.0</v>
      </c>
      <c r="AD80" s="63">
        <v>0.0</v>
      </c>
      <c r="AE80" s="42">
        <f t="shared" si="10"/>
        <v>175000000</v>
      </c>
      <c r="AF80" s="42">
        <v>1.75E8</v>
      </c>
      <c r="AG80" s="77">
        <f t="shared" si="8"/>
        <v>1</v>
      </c>
      <c r="AH80" s="77">
        <f t="shared" si="7"/>
        <v>1</v>
      </c>
      <c r="AI80" s="60" t="s">
        <v>440</v>
      </c>
      <c r="AJ80" s="38"/>
      <c r="AK80" s="31"/>
      <c r="AL80" s="38"/>
      <c r="AM80" s="39"/>
      <c r="AN80" s="39"/>
      <c r="AO80" s="39"/>
      <c r="AP80" s="34"/>
      <c r="AQ80" s="39"/>
      <c r="AR80" s="35"/>
      <c r="AS80" s="50"/>
      <c r="AT80" s="52" t="s">
        <v>90</v>
      </c>
      <c r="AU80" s="50"/>
    </row>
    <row r="81" ht="102.0" customHeight="1">
      <c r="A81" s="28">
        <v>2025.0</v>
      </c>
      <c r="B81" s="60" t="s">
        <v>113</v>
      </c>
      <c r="C81" s="40" t="s">
        <v>63</v>
      </c>
      <c r="D81" s="72" t="s">
        <v>64</v>
      </c>
      <c r="E81" s="37" t="s">
        <v>441</v>
      </c>
      <c r="F81" s="60" t="s">
        <v>442</v>
      </c>
      <c r="G81" s="60" t="str">
        <f t="shared" si="9"/>
        <v>SOPETRÁN</v>
      </c>
      <c r="H81" s="60" t="s">
        <v>116</v>
      </c>
      <c r="I81" s="60" t="s">
        <v>443</v>
      </c>
      <c r="J81" s="60" t="s">
        <v>444</v>
      </c>
      <c r="K81" s="60">
        <v>2.0</v>
      </c>
      <c r="L81" s="73">
        <v>500.0</v>
      </c>
      <c r="M81" s="63">
        <v>0.0</v>
      </c>
      <c r="N81" s="42">
        <v>1.75E8</v>
      </c>
      <c r="O81" s="42">
        <v>2.3410981E8</v>
      </c>
      <c r="P81" s="64">
        <f t="shared" si="2"/>
        <v>409109810</v>
      </c>
      <c r="Q81" s="56">
        <v>0.0</v>
      </c>
      <c r="R81" s="59">
        <v>0.0</v>
      </c>
      <c r="S81" s="65">
        <f t="shared" si="3"/>
        <v>409109810</v>
      </c>
      <c r="T81" s="78" t="s">
        <v>53</v>
      </c>
      <c r="U81" s="78" t="s">
        <v>70</v>
      </c>
      <c r="V81" s="75">
        <v>44406.0</v>
      </c>
      <c r="W81" s="76">
        <v>45957.0</v>
      </c>
      <c r="X81" s="76">
        <v>46018.0</v>
      </c>
      <c r="Y81" s="61">
        <v>0.0</v>
      </c>
      <c r="Z81" s="69">
        <v>0.0</v>
      </c>
      <c r="AA81" s="76">
        <v>46018.0</v>
      </c>
      <c r="AB81" s="27">
        <f t="shared" si="4"/>
        <v>-164</v>
      </c>
      <c r="AC81" s="73">
        <v>350.0</v>
      </c>
      <c r="AD81" s="63">
        <v>0.0</v>
      </c>
      <c r="AE81" s="42">
        <f t="shared" si="10"/>
        <v>175000000</v>
      </c>
      <c r="AF81" s="42">
        <v>7.0E7</v>
      </c>
      <c r="AG81" s="77">
        <f t="shared" si="8"/>
        <v>0.7</v>
      </c>
      <c r="AH81" s="77">
        <f t="shared" si="7"/>
        <v>0.4</v>
      </c>
      <c r="AI81" s="60" t="s">
        <v>445</v>
      </c>
      <c r="AJ81" s="38"/>
      <c r="AK81" s="31"/>
      <c r="AL81" s="38"/>
      <c r="AM81" s="39"/>
      <c r="AN81" s="39"/>
      <c r="AO81" s="39"/>
      <c r="AP81" s="34"/>
      <c r="AQ81" s="39"/>
      <c r="AR81" s="35"/>
      <c r="AS81" s="50"/>
      <c r="AT81" s="52" t="s">
        <v>90</v>
      </c>
      <c r="AU81" s="50"/>
    </row>
    <row r="82" ht="102.0" customHeight="1">
      <c r="A82" s="28">
        <v>2025.0</v>
      </c>
      <c r="B82" s="60" t="s">
        <v>113</v>
      </c>
      <c r="C82" s="40" t="s">
        <v>63</v>
      </c>
      <c r="D82" s="72" t="s">
        <v>64</v>
      </c>
      <c r="E82" s="37" t="s">
        <v>446</v>
      </c>
      <c r="F82" s="60" t="s">
        <v>135</v>
      </c>
      <c r="G82" s="60" t="str">
        <f t="shared" si="9"/>
        <v>SANTA FE DE ANTIOQUIA</v>
      </c>
      <c r="H82" s="60" t="s">
        <v>116</v>
      </c>
      <c r="I82" s="60" t="s">
        <v>447</v>
      </c>
      <c r="J82" s="60" t="s">
        <v>448</v>
      </c>
      <c r="K82" s="60">
        <v>2.0</v>
      </c>
      <c r="L82" s="73">
        <v>500.0</v>
      </c>
      <c r="M82" s="63">
        <v>0.0</v>
      </c>
      <c r="N82" s="42">
        <v>1.75E8</v>
      </c>
      <c r="O82" s="42">
        <v>3.25E8</v>
      </c>
      <c r="P82" s="64">
        <f t="shared" si="2"/>
        <v>500000000</v>
      </c>
      <c r="Q82" s="56">
        <v>0.0</v>
      </c>
      <c r="R82" s="59">
        <v>0.0</v>
      </c>
      <c r="S82" s="65">
        <f t="shared" si="3"/>
        <v>500000000</v>
      </c>
      <c r="T82" s="78" t="s">
        <v>53</v>
      </c>
      <c r="U82" s="78" t="s">
        <v>53</v>
      </c>
      <c r="V82" s="75">
        <v>44406.0</v>
      </c>
      <c r="W82" s="76">
        <v>45957.0</v>
      </c>
      <c r="X82" s="76">
        <v>46018.0</v>
      </c>
      <c r="Y82" s="61">
        <v>0.0</v>
      </c>
      <c r="Z82" s="69">
        <v>0.0</v>
      </c>
      <c r="AA82" s="76">
        <v>46018.0</v>
      </c>
      <c r="AB82" s="27">
        <f t="shared" si="4"/>
        <v>-164</v>
      </c>
      <c r="AC82" s="73">
        <v>500.0</v>
      </c>
      <c r="AD82" s="63">
        <v>0.0</v>
      </c>
      <c r="AE82" s="42">
        <f t="shared" si="10"/>
        <v>175000000</v>
      </c>
      <c r="AF82" s="42">
        <v>1.75E8</v>
      </c>
      <c r="AG82" s="77">
        <f t="shared" si="8"/>
        <v>1</v>
      </c>
      <c r="AH82" s="77">
        <f t="shared" si="7"/>
        <v>1</v>
      </c>
      <c r="AI82" s="60" t="s">
        <v>449</v>
      </c>
      <c r="AJ82" s="38"/>
      <c r="AK82" s="31"/>
      <c r="AL82" s="38"/>
      <c r="AM82" s="39"/>
      <c r="AN82" s="39"/>
      <c r="AO82" s="39"/>
      <c r="AP82" s="34"/>
      <c r="AQ82" s="39"/>
      <c r="AR82" s="35"/>
      <c r="AS82" s="50"/>
      <c r="AT82" s="52" t="s">
        <v>90</v>
      </c>
      <c r="AU82" s="50"/>
    </row>
    <row r="83" ht="102.0" customHeight="1">
      <c r="A83" s="18">
        <v>2025.0</v>
      </c>
      <c r="B83" s="72" t="s">
        <v>139</v>
      </c>
      <c r="C83" s="15" t="s">
        <v>107</v>
      </c>
      <c r="D83" s="72" t="s">
        <v>48</v>
      </c>
      <c r="E83" s="57">
        <v>4.600018194E9</v>
      </c>
      <c r="F83" s="72" t="s">
        <v>450</v>
      </c>
      <c r="G83" s="72" t="s">
        <v>450</v>
      </c>
      <c r="H83" s="72" t="s">
        <v>67</v>
      </c>
      <c r="I83" s="72" t="s">
        <v>451</v>
      </c>
      <c r="J83" s="72" t="s">
        <v>452</v>
      </c>
      <c r="K83" s="72">
        <v>6.0</v>
      </c>
      <c r="L83" s="62">
        <v>197.0</v>
      </c>
      <c r="M83" s="63">
        <v>0.0</v>
      </c>
      <c r="N83" s="41">
        <v>2.1475028E8</v>
      </c>
      <c r="O83" s="41">
        <v>2.09509678E8</v>
      </c>
      <c r="P83" s="64">
        <f t="shared" si="2"/>
        <v>424259958</v>
      </c>
      <c r="Q83" s="59">
        <v>0.0</v>
      </c>
      <c r="R83" s="59">
        <v>0.0</v>
      </c>
      <c r="S83" s="65">
        <f t="shared" si="3"/>
        <v>424259958</v>
      </c>
      <c r="T83" s="74" t="s">
        <v>53</v>
      </c>
      <c r="U83" s="74" t="s">
        <v>53</v>
      </c>
      <c r="V83" s="75">
        <v>44406.0</v>
      </c>
      <c r="W83" s="80">
        <v>45894.0</v>
      </c>
      <c r="X83" s="80">
        <v>46022.0</v>
      </c>
      <c r="Y83" s="69">
        <v>0.0</v>
      </c>
      <c r="Z83" s="69">
        <v>0.0</v>
      </c>
      <c r="AA83" s="80">
        <v>46022.0</v>
      </c>
      <c r="AB83" s="27">
        <f t="shared" si="4"/>
        <v>-160</v>
      </c>
      <c r="AC83" s="62">
        <v>197.0</v>
      </c>
      <c r="AD83" s="63">
        <v>0.0</v>
      </c>
      <c r="AE83" s="41">
        <v>2.1475028E8</v>
      </c>
      <c r="AF83" s="41">
        <v>0.0</v>
      </c>
      <c r="AG83" s="77">
        <f t="shared" si="8"/>
        <v>1</v>
      </c>
      <c r="AH83" s="77">
        <f t="shared" si="7"/>
        <v>0</v>
      </c>
      <c r="AI83" s="72" t="s">
        <v>453</v>
      </c>
      <c r="AJ83" s="38"/>
      <c r="AK83" s="31"/>
      <c r="AL83" s="38"/>
      <c r="AM83" s="39"/>
      <c r="AN83" s="39"/>
      <c r="AO83" s="39"/>
      <c r="AP83" s="34"/>
      <c r="AQ83" s="39"/>
      <c r="AR83" s="35"/>
      <c r="AT83" s="52" t="s">
        <v>90</v>
      </c>
      <c r="AU83" s="50"/>
    </row>
    <row r="84" ht="102.0" customHeight="1">
      <c r="A84" s="18">
        <v>2025.0</v>
      </c>
      <c r="B84" s="72" t="s">
        <v>139</v>
      </c>
      <c r="C84" s="15" t="s">
        <v>306</v>
      </c>
      <c r="D84" s="60" t="s">
        <v>48</v>
      </c>
      <c r="E84" s="57">
        <v>4.600018676E9</v>
      </c>
      <c r="F84" s="72" t="s">
        <v>454</v>
      </c>
      <c r="G84" s="72" t="s">
        <v>454</v>
      </c>
      <c r="H84" s="72" t="s">
        <v>67</v>
      </c>
      <c r="I84" s="72" t="s">
        <v>455</v>
      </c>
      <c r="J84" s="72" t="s">
        <v>456</v>
      </c>
      <c r="K84" s="72">
        <v>3.0</v>
      </c>
      <c r="L84" s="62">
        <v>0.0</v>
      </c>
      <c r="M84" s="81">
        <v>136.64</v>
      </c>
      <c r="N84" s="41">
        <v>3.0E8</v>
      </c>
      <c r="O84" s="41">
        <v>3.7871221E7</v>
      </c>
      <c r="P84" s="64">
        <f t="shared" si="2"/>
        <v>337871221</v>
      </c>
      <c r="Q84" s="59">
        <v>0.0</v>
      </c>
      <c r="R84" s="59">
        <v>0.0</v>
      </c>
      <c r="S84" s="65">
        <f t="shared" si="3"/>
        <v>337871221</v>
      </c>
      <c r="T84" s="74" t="s">
        <v>70</v>
      </c>
      <c r="U84" s="74" t="s">
        <v>70</v>
      </c>
      <c r="V84" s="80">
        <v>45968.0</v>
      </c>
      <c r="W84" s="80">
        <v>46000.0</v>
      </c>
      <c r="X84" s="80">
        <v>46090.0</v>
      </c>
      <c r="Y84" s="69">
        <v>0.0</v>
      </c>
      <c r="Z84" s="69">
        <v>1.0</v>
      </c>
      <c r="AA84" s="80">
        <v>46122.0</v>
      </c>
      <c r="AB84" s="27">
        <f t="shared" si="4"/>
        <v>-60</v>
      </c>
      <c r="AC84" s="62">
        <v>0.0</v>
      </c>
      <c r="AD84" s="66">
        <v>100.0</v>
      </c>
      <c r="AE84" s="41">
        <v>3.0E8</v>
      </c>
      <c r="AF84" s="41">
        <v>0.0</v>
      </c>
      <c r="AG84" s="71">
        <f>AD84/M84</f>
        <v>0.7318501171</v>
      </c>
      <c r="AH84" s="77">
        <f t="shared" si="7"/>
        <v>0</v>
      </c>
      <c r="AI84" s="72" t="s">
        <v>457</v>
      </c>
      <c r="AJ84" s="38"/>
      <c r="AK84" s="31"/>
      <c r="AL84" s="38"/>
      <c r="AM84" s="39"/>
      <c r="AN84" s="39"/>
      <c r="AO84" s="39"/>
      <c r="AP84" s="34"/>
      <c r="AQ84" s="39"/>
      <c r="AR84" s="35"/>
      <c r="AS84" s="50"/>
      <c r="AT84" s="52" t="s">
        <v>90</v>
      </c>
      <c r="AU84" s="50"/>
    </row>
    <row r="85" ht="102.0" customHeight="1">
      <c r="A85" s="28">
        <v>2025.0</v>
      </c>
      <c r="B85" s="60" t="s">
        <v>160</v>
      </c>
      <c r="C85" s="40" t="s">
        <v>63</v>
      </c>
      <c r="D85" s="72" t="s">
        <v>64</v>
      </c>
      <c r="E85" s="37" t="s">
        <v>458</v>
      </c>
      <c r="F85" s="60" t="s">
        <v>459</v>
      </c>
      <c r="G85" s="60" t="str">
        <f t="shared" ref="G85:G96" si="11">F85</f>
        <v>YARUMAL</v>
      </c>
      <c r="H85" s="60" t="s">
        <v>163</v>
      </c>
      <c r="I85" s="60" t="s">
        <v>460</v>
      </c>
      <c r="J85" s="60" t="s">
        <v>461</v>
      </c>
      <c r="K85" s="60">
        <v>8.0</v>
      </c>
      <c r="L85" s="73">
        <v>1000.0</v>
      </c>
      <c r="M85" s="63">
        <v>0.0</v>
      </c>
      <c r="N85" s="42">
        <v>3.22264852E8</v>
      </c>
      <c r="O85" s="42">
        <v>4.41008851E8</v>
      </c>
      <c r="P85" s="64">
        <f t="shared" si="2"/>
        <v>763273703</v>
      </c>
      <c r="Q85" s="59">
        <v>0.0</v>
      </c>
      <c r="R85" s="59">
        <v>0.0</v>
      </c>
      <c r="S85" s="65">
        <f t="shared" si="3"/>
        <v>763273703</v>
      </c>
      <c r="T85" s="74" t="s">
        <v>53</v>
      </c>
      <c r="U85" s="74" t="s">
        <v>53</v>
      </c>
      <c r="V85" s="75">
        <v>44406.0</v>
      </c>
      <c r="W85" s="76">
        <v>45708.0</v>
      </c>
      <c r="X85" s="76">
        <v>45950.0</v>
      </c>
      <c r="Y85" s="61">
        <v>0.0</v>
      </c>
      <c r="Z85" s="69">
        <v>0.0</v>
      </c>
      <c r="AA85" s="76">
        <v>45950.0</v>
      </c>
      <c r="AB85" s="27">
        <f t="shared" si="4"/>
        <v>-232</v>
      </c>
      <c r="AC85" s="73">
        <v>1000.0</v>
      </c>
      <c r="AD85" s="63">
        <v>0.0</v>
      </c>
      <c r="AE85" s="42">
        <f t="shared" ref="AE85:AE96" si="12">N85</f>
        <v>322264852</v>
      </c>
      <c r="AF85" s="42">
        <v>3.22264852E8</v>
      </c>
      <c r="AG85" s="77">
        <f t="shared" ref="AG85:AG146" si="13">AC85/L85</f>
        <v>1</v>
      </c>
      <c r="AH85" s="77">
        <f t="shared" si="7"/>
        <v>1</v>
      </c>
      <c r="AI85" s="60" t="s">
        <v>462</v>
      </c>
      <c r="AJ85" s="38"/>
      <c r="AK85" s="31"/>
      <c r="AL85" s="38"/>
      <c r="AM85" s="39"/>
      <c r="AN85" s="39"/>
      <c r="AO85" s="39"/>
      <c r="AP85" s="34"/>
      <c r="AQ85" s="39"/>
      <c r="AR85" s="35"/>
      <c r="AS85" s="50"/>
      <c r="AT85" s="52" t="s">
        <v>90</v>
      </c>
      <c r="AU85" s="50"/>
    </row>
    <row r="86" ht="102.0" customHeight="1">
      <c r="A86" s="28">
        <v>2025.0</v>
      </c>
      <c r="B86" s="60" t="s">
        <v>193</v>
      </c>
      <c r="C86" s="40" t="s">
        <v>63</v>
      </c>
      <c r="D86" s="60" t="s">
        <v>48</v>
      </c>
      <c r="E86" s="37">
        <v>4.600017869E9</v>
      </c>
      <c r="F86" s="60" t="s">
        <v>190</v>
      </c>
      <c r="G86" s="60" t="str">
        <f t="shared" si="11"/>
        <v>ALEJANDRÍA</v>
      </c>
      <c r="H86" s="60" t="s">
        <v>109</v>
      </c>
      <c r="I86" s="60" t="s">
        <v>463</v>
      </c>
      <c r="J86" s="60" t="s">
        <v>464</v>
      </c>
      <c r="K86" s="60">
        <v>6.0</v>
      </c>
      <c r="L86" s="73">
        <v>750.0</v>
      </c>
      <c r="M86" s="63">
        <v>0.0</v>
      </c>
      <c r="N86" s="42">
        <v>1.640831632E9</v>
      </c>
      <c r="O86" s="42">
        <v>4.10207908E8</v>
      </c>
      <c r="P86" s="64">
        <f t="shared" si="2"/>
        <v>2051039540</v>
      </c>
      <c r="Q86" s="59">
        <v>0.0</v>
      </c>
      <c r="R86" s="59">
        <v>0.0</v>
      </c>
      <c r="S86" s="65">
        <f t="shared" si="3"/>
        <v>2051039540</v>
      </c>
      <c r="T86" s="74" t="s">
        <v>53</v>
      </c>
      <c r="U86" s="74" t="s">
        <v>53</v>
      </c>
      <c r="V86" s="75">
        <v>44406.0</v>
      </c>
      <c r="W86" s="76">
        <v>45777.0</v>
      </c>
      <c r="X86" s="76">
        <v>45960.0</v>
      </c>
      <c r="Y86" s="61">
        <v>0.0</v>
      </c>
      <c r="Z86" s="69">
        <v>0.0</v>
      </c>
      <c r="AA86" s="76">
        <v>45960.0</v>
      </c>
      <c r="AB86" s="27">
        <f t="shared" si="4"/>
        <v>-222</v>
      </c>
      <c r="AC86" s="73">
        <v>750.0</v>
      </c>
      <c r="AD86" s="63">
        <v>0.0</v>
      </c>
      <c r="AE86" s="42">
        <f t="shared" si="12"/>
        <v>1640831632</v>
      </c>
      <c r="AF86" s="42">
        <v>1.640831632E9</v>
      </c>
      <c r="AG86" s="77">
        <f t="shared" si="13"/>
        <v>1</v>
      </c>
      <c r="AH86" s="77">
        <f t="shared" si="7"/>
        <v>1</v>
      </c>
      <c r="AI86" s="60" t="s">
        <v>465</v>
      </c>
      <c r="AJ86" s="38"/>
      <c r="AK86" s="31"/>
      <c r="AL86" s="38"/>
      <c r="AM86" s="39"/>
      <c r="AN86" s="39"/>
      <c r="AO86" s="39"/>
      <c r="AP86" s="34"/>
      <c r="AQ86" s="39"/>
      <c r="AR86" s="35"/>
      <c r="AS86" s="50"/>
      <c r="AT86" s="52" t="s">
        <v>90</v>
      </c>
      <c r="AU86" s="50"/>
    </row>
    <row r="87" ht="102.0" customHeight="1">
      <c r="A87" s="28">
        <v>2025.0</v>
      </c>
      <c r="B87" s="60" t="s">
        <v>193</v>
      </c>
      <c r="C87" s="40" t="s">
        <v>63</v>
      </c>
      <c r="D87" s="72" t="s">
        <v>64</v>
      </c>
      <c r="E87" s="37" t="s">
        <v>466</v>
      </c>
      <c r="F87" s="60" t="s">
        <v>467</v>
      </c>
      <c r="G87" s="60" t="str">
        <f t="shared" si="11"/>
        <v>EL CARMEN DE VIBORAL</v>
      </c>
      <c r="H87" s="60" t="s">
        <v>109</v>
      </c>
      <c r="I87" s="60" t="s">
        <v>468</v>
      </c>
      <c r="J87" s="60" t="s">
        <v>469</v>
      </c>
      <c r="K87" s="60">
        <v>6.0</v>
      </c>
      <c r="L87" s="73">
        <v>500.0</v>
      </c>
      <c r="M87" s="63">
        <v>0.0</v>
      </c>
      <c r="N87" s="42">
        <v>1.75E8</v>
      </c>
      <c r="O87" s="42">
        <v>3.8E8</v>
      </c>
      <c r="P87" s="64">
        <f t="shared" si="2"/>
        <v>555000000</v>
      </c>
      <c r="Q87" s="59">
        <v>0.0</v>
      </c>
      <c r="R87" s="59">
        <v>0.0</v>
      </c>
      <c r="S87" s="65">
        <f t="shared" si="3"/>
        <v>555000000</v>
      </c>
      <c r="T87" s="74" t="s">
        <v>53</v>
      </c>
      <c r="U87" s="74" t="s">
        <v>53</v>
      </c>
      <c r="V87" s="75">
        <v>44406.0</v>
      </c>
      <c r="W87" s="76">
        <v>45800.0</v>
      </c>
      <c r="X87" s="76">
        <v>45984.0</v>
      </c>
      <c r="Y87" s="61">
        <v>0.0</v>
      </c>
      <c r="Z87" s="69">
        <v>0.0</v>
      </c>
      <c r="AA87" s="76">
        <v>45984.0</v>
      </c>
      <c r="AB87" s="27">
        <f t="shared" si="4"/>
        <v>-198</v>
      </c>
      <c r="AC87" s="73">
        <v>500.0</v>
      </c>
      <c r="AD87" s="63">
        <v>0.0</v>
      </c>
      <c r="AE87" s="42">
        <f t="shared" si="12"/>
        <v>175000000</v>
      </c>
      <c r="AF87" s="42">
        <v>1.75E8</v>
      </c>
      <c r="AG87" s="77">
        <f t="shared" si="13"/>
        <v>1</v>
      </c>
      <c r="AH87" s="77">
        <f t="shared" si="7"/>
        <v>1</v>
      </c>
      <c r="AI87" s="60" t="s">
        <v>470</v>
      </c>
      <c r="AJ87" s="38"/>
      <c r="AK87" s="31"/>
      <c r="AL87" s="38"/>
      <c r="AM87" s="39"/>
      <c r="AN87" s="39"/>
      <c r="AO87" s="39"/>
      <c r="AP87" s="34"/>
      <c r="AQ87" s="39"/>
      <c r="AR87" s="35"/>
      <c r="AS87" s="50"/>
      <c r="AT87" s="52" t="s">
        <v>90</v>
      </c>
      <c r="AU87" s="50"/>
    </row>
    <row r="88" ht="102.0" customHeight="1">
      <c r="A88" s="28">
        <v>2025.0</v>
      </c>
      <c r="B88" s="60" t="s">
        <v>193</v>
      </c>
      <c r="C88" s="40" t="s">
        <v>63</v>
      </c>
      <c r="D88" s="72" t="s">
        <v>64</v>
      </c>
      <c r="E88" s="37" t="s">
        <v>471</v>
      </c>
      <c r="F88" s="60" t="s">
        <v>211</v>
      </c>
      <c r="G88" s="60" t="str">
        <f t="shared" si="11"/>
        <v>RIONEGRO</v>
      </c>
      <c r="H88" s="60" t="s">
        <v>109</v>
      </c>
      <c r="I88" s="60" t="s">
        <v>472</v>
      </c>
      <c r="J88" s="60" t="s">
        <v>473</v>
      </c>
      <c r="K88" s="60">
        <v>4.0</v>
      </c>
      <c r="L88" s="73">
        <v>1681.0</v>
      </c>
      <c r="M88" s="63">
        <v>0.0</v>
      </c>
      <c r="N88" s="42">
        <v>5.8835E8</v>
      </c>
      <c r="O88" s="42">
        <v>0.0</v>
      </c>
      <c r="P88" s="64">
        <f t="shared" si="2"/>
        <v>588350000</v>
      </c>
      <c r="Q88" s="59">
        <v>0.0</v>
      </c>
      <c r="R88" s="59">
        <v>0.0</v>
      </c>
      <c r="S88" s="65">
        <f t="shared" si="3"/>
        <v>588350000</v>
      </c>
      <c r="T88" s="74" t="s">
        <v>53</v>
      </c>
      <c r="U88" s="78" t="s">
        <v>70</v>
      </c>
      <c r="V88" s="75">
        <v>44406.0</v>
      </c>
      <c r="W88" s="76">
        <v>45882.0</v>
      </c>
      <c r="X88" s="76">
        <v>46022.0</v>
      </c>
      <c r="Y88" s="61">
        <v>0.0</v>
      </c>
      <c r="Z88" s="69">
        <v>0.0</v>
      </c>
      <c r="AA88" s="76">
        <v>46022.0</v>
      </c>
      <c r="AB88" s="27">
        <f t="shared" si="4"/>
        <v>-160</v>
      </c>
      <c r="AC88" s="73">
        <v>1607.0</v>
      </c>
      <c r="AD88" s="63">
        <v>0.0</v>
      </c>
      <c r="AE88" s="42">
        <f t="shared" si="12"/>
        <v>588350000</v>
      </c>
      <c r="AF88" s="42">
        <v>5.8835E8</v>
      </c>
      <c r="AG88" s="77">
        <f t="shared" si="13"/>
        <v>0.9559785842</v>
      </c>
      <c r="AH88" s="77">
        <f t="shared" si="7"/>
        <v>1</v>
      </c>
      <c r="AI88" s="60" t="s">
        <v>414</v>
      </c>
      <c r="AJ88" s="38"/>
      <c r="AK88" s="31"/>
      <c r="AL88" s="38"/>
      <c r="AM88" s="39"/>
      <c r="AN88" s="39"/>
      <c r="AO88" s="39"/>
      <c r="AP88" s="34"/>
      <c r="AQ88" s="39"/>
      <c r="AR88" s="35"/>
      <c r="AS88" s="50"/>
      <c r="AT88" s="52" t="s">
        <v>90</v>
      </c>
      <c r="AU88" s="50"/>
    </row>
    <row r="89" ht="102.0" customHeight="1">
      <c r="A89" s="28">
        <v>2025.0</v>
      </c>
      <c r="B89" s="60" t="s">
        <v>193</v>
      </c>
      <c r="C89" s="40" t="s">
        <v>63</v>
      </c>
      <c r="D89" s="72" t="s">
        <v>64</v>
      </c>
      <c r="E89" s="37" t="s">
        <v>474</v>
      </c>
      <c r="F89" s="60" t="s">
        <v>190</v>
      </c>
      <c r="G89" s="60" t="str">
        <f t="shared" si="11"/>
        <v>ALEJANDRÍA</v>
      </c>
      <c r="H89" s="60" t="s">
        <v>109</v>
      </c>
      <c r="I89" s="60" t="s">
        <v>475</v>
      </c>
      <c r="J89" s="60" t="s">
        <v>476</v>
      </c>
      <c r="K89" s="60">
        <v>1.5</v>
      </c>
      <c r="L89" s="73">
        <v>300.0</v>
      </c>
      <c r="M89" s="63">
        <v>0.0</v>
      </c>
      <c r="N89" s="42">
        <v>1.05E8</v>
      </c>
      <c r="O89" s="42">
        <v>2.92159565E8</v>
      </c>
      <c r="P89" s="64">
        <f t="shared" si="2"/>
        <v>397159565</v>
      </c>
      <c r="Q89" s="56">
        <v>0.0</v>
      </c>
      <c r="R89" s="59">
        <v>0.0</v>
      </c>
      <c r="S89" s="65">
        <f t="shared" si="3"/>
        <v>397159565</v>
      </c>
      <c r="T89" s="78" t="s">
        <v>53</v>
      </c>
      <c r="U89" s="78" t="s">
        <v>53</v>
      </c>
      <c r="V89" s="75">
        <v>44406.0</v>
      </c>
      <c r="W89" s="76">
        <v>45965.0</v>
      </c>
      <c r="X89" s="76">
        <v>46021.0</v>
      </c>
      <c r="Y89" s="61">
        <v>0.0</v>
      </c>
      <c r="Z89" s="69">
        <v>0.0</v>
      </c>
      <c r="AA89" s="76">
        <v>46021.0</v>
      </c>
      <c r="AB89" s="27">
        <f t="shared" si="4"/>
        <v>-161</v>
      </c>
      <c r="AC89" s="73">
        <v>300.0</v>
      </c>
      <c r="AD89" s="63">
        <v>0.0</v>
      </c>
      <c r="AE89" s="42">
        <f t="shared" si="12"/>
        <v>105000000</v>
      </c>
      <c r="AF89" s="42">
        <v>1.05E8</v>
      </c>
      <c r="AG89" s="77">
        <f t="shared" si="13"/>
        <v>1</v>
      </c>
      <c r="AH89" s="77">
        <f t="shared" si="7"/>
        <v>1</v>
      </c>
      <c r="AI89" s="60" t="s">
        <v>477</v>
      </c>
      <c r="AJ89" s="38"/>
      <c r="AK89" s="31"/>
      <c r="AL89" s="38"/>
      <c r="AM89" s="39"/>
      <c r="AN89" s="39"/>
      <c r="AO89" s="39"/>
      <c r="AP89" s="34"/>
      <c r="AQ89" s="39"/>
      <c r="AR89" s="35"/>
      <c r="AS89" s="50"/>
      <c r="AT89" s="52" t="s">
        <v>90</v>
      </c>
      <c r="AU89" s="50"/>
    </row>
    <row r="90" ht="102.0" customHeight="1">
      <c r="A90" s="28">
        <v>2025.0</v>
      </c>
      <c r="B90" s="60" t="s">
        <v>193</v>
      </c>
      <c r="C90" s="40" t="s">
        <v>63</v>
      </c>
      <c r="D90" s="72" t="s">
        <v>64</v>
      </c>
      <c r="E90" s="37" t="s">
        <v>478</v>
      </c>
      <c r="F90" s="60" t="s">
        <v>204</v>
      </c>
      <c r="G90" s="60" t="str">
        <f t="shared" si="11"/>
        <v>MARINILLA</v>
      </c>
      <c r="H90" s="60" t="s">
        <v>109</v>
      </c>
      <c r="I90" s="60" t="s">
        <v>479</v>
      </c>
      <c r="J90" s="60" t="s">
        <v>480</v>
      </c>
      <c r="K90" s="60">
        <v>2.0</v>
      </c>
      <c r="L90" s="73">
        <v>500.0</v>
      </c>
      <c r="M90" s="63">
        <v>0.0</v>
      </c>
      <c r="N90" s="42">
        <v>1.75E8</v>
      </c>
      <c r="O90" s="42">
        <v>3.34551431E8</v>
      </c>
      <c r="P90" s="64">
        <f t="shared" si="2"/>
        <v>509551431</v>
      </c>
      <c r="Q90" s="56">
        <v>0.0</v>
      </c>
      <c r="R90" s="59">
        <v>0.0</v>
      </c>
      <c r="S90" s="65">
        <f t="shared" si="3"/>
        <v>509551431</v>
      </c>
      <c r="T90" s="78" t="s">
        <v>53</v>
      </c>
      <c r="U90" s="78" t="s">
        <v>70</v>
      </c>
      <c r="V90" s="75">
        <v>44406.0</v>
      </c>
      <c r="W90" s="76">
        <v>45961.0</v>
      </c>
      <c r="X90" s="76">
        <v>46021.0</v>
      </c>
      <c r="Y90" s="61">
        <v>0.0</v>
      </c>
      <c r="Z90" s="69">
        <v>0.0</v>
      </c>
      <c r="AA90" s="76">
        <v>46021.0</v>
      </c>
      <c r="AB90" s="27">
        <f t="shared" si="4"/>
        <v>-161</v>
      </c>
      <c r="AC90" s="73">
        <v>350.0</v>
      </c>
      <c r="AD90" s="63">
        <v>0.0</v>
      </c>
      <c r="AE90" s="42">
        <f t="shared" si="12"/>
        <v>175000000</v>
      </c>
      <c r="AF90" s="42">
        <v>1.75E8</v>
      </c>
      <c r="AG90" s="77">
        <f t="shared" si="13"/>
        <v>0.7</v>
      </c>
      <c r="AH90" s="77">
        <f t="shared" si="7"/>
        <v>1</v>
      </c>
      <c r="AI90" s="60" t="s">
        <v>481</v>
      </c>
      <c r="AJ90" s="38"/>
      <c r="AK90" s="31"/>
      <c r="AL90" s="38"/>
      <c r="AM90" s="39"/>
      <c r="AN90" s="39"/>
      <c r="AO90" s="39"/>
      <c r="AP90" s="34"/>
      <c r="AQ90" s="39"/>
      <c r="AR90" s="35"/>
      <c r="AS90" s="50"/>
      <c r="AT90" s="52" t="s">
        <v>90</v>
      </c>
      <c r="AU90" s="50"/>
    </row>
    <row r="91" ht="102.0" customHeight="1">
      <c r="A91" s="28">
        <v>2025.0</v>
      </c>
      <c r="B91" s="60" t="s">
        <v>221</v>
      </c>
      <c r="C91" s="40" t="s">
        <v>63</v>
      </c>
      <c r="D91" s="72" t="s">
        <v>64</v>
      </c>
      <c r="E91" s="37" t="s">
        <v>482</v>
      </c>
      <c r="F91" s="60" t="s">
        <v>483</v>
      </c>
      <c r="G91" s="60" t="str">
        <f t="shared" si="11"/>
        <v>FRONTINO</v>
      </c>
      <c r="H91" s="60" t="s">
        <v>116</v>
      </c>
      <c r="I91" s="60" t="s">
        <v>484</v>
      </c>
      <c r="J91" s="60" t="s">
        <v>485</v>
      </c>
      <c r="K91" s="60">
        <v>2.0</v>
      </c>
      <c r="L91" s="73">
        <v>200.0</v>
      </c>
      <c r="M91" s="63">
        <v>0.0</v>
      </c>
      <c r="N91" s="42">
        <v>7.0E7</v>
      </c>
      <c r="O91" s="42">
        <f>SUM(4040897+132681720+19805073)</f>
        <v>156527690</v>
      </c>
      <c r="P91" s="64">
        <f t="shared" si="2"/>
        <v>226527690</v>
      </c>
      <c r="Q91" s="56">
        <v>0.0</v>
      </c>
      <c r="R91" s="59">
        <v>0.0</v>
      </c>
      <c r="S91" s="65">
        <f t="shared" si="3"/>
        <v>226527690</v>
      </c>
      <c r="T91" s="78" t="s">
        <v>53</v>
      </c>
      <c r="U91" s="78" t="s">
        <v>53</v>
      </c>
      <c r="V91" s="75">
        <v>44406.0</v>
      </c>
      <c r="W91" s="76">
        <v>45960.0</v>
      </c>
      <c r="X91" s="76">
        <v>46021.0</v>
      </c>
      <c r="Y91" s="61">
        <v>0.0</v>
      </c>
      <c r="Z91" s="69">
        <v>0.0</v>
      </c>
      <c r="AA91" s="76">
        <v>46021.0</v>
      </c>
      <c r="AB91" s="27">
        <f t="shared" si="4"/>
        <v>-161</v>
      </c>
      <c r="AC91" s="73">
        <v>200.0</v>
      </c>
      <c r="AD91" s="63">
        <v>0.0</v>
      </c>
      <c r="AE91" s="42">
        <f t="shared" si="12"/>
        <v>70000000</v>
      </c>
      <c r="AF91" s="42">
        <v>7.0E7</v>
      </c>
      <c r="AG91" s="77">
        <f t="shared" si="13"/>
        <v>1</v>
      </c>
      <c r="AH91" s="77">
        <f t="shared" si="7"/>
        <v>1</v>
      </c>
      <c r="AI91" s="60" t="s">
        <v>486</v>
      </c>
      <c r="AJ91" s="38"/>
      <c r="AK91" s="31"/>
      <c r="AL91" s="38"/>
      <c r="AM91" s="39"/>
      <c r="AN91" s="39"/>
      <c r="AO91" s="39"/>
      <c r="AP91" s="34"/>
      <c r="AQ91" s="39"/>
      <c r="AR91" s="35"/>
      <c r="AS91" s="50"/>
      <c r="AT91" s="52" t="s">
        <v>90</v>
      </c>
      <c r="AU91" s="50"/>
    </row>
    <row r="92" ht="102.0" customHeight="1">
      <c r="A92" s="28">
        <v>2025.0</v>
      </c>
      <c r="B92" s="60" t="s">
        <v>221</v>
      </c>
      <c r="C92" s="40" t="s">
        <v>63</v>
      </c>
      <c r="D92" s="72" t="s">
        <v>64</v>
      </c>
      <c r="E92" s="37" t="s">
        <v>487</v>
      </c>
      <c r="F92" s="60" t="s">
        <v>488</v>
      </c>
      <c r="G92" s="60" t="str">
        <f t="shared" si="11"/>
        <v>PEQUE</v>
      </c>
      <c r="H92" s="60" t="s">
        <v>116</v>
      </c>
      <c r="I92" s="60" t="s">
        <v>489</v>
      </c>
      <c r="J92" s="60" t="s">
        <v>490</v>
      </c>
      <c r="K92" s="60">
        <v>2.0</v>
      </c>
      <c r="L92" s="73">
        <v>500.0</v>
      </c>
      <c r="M92" s="63">
        <v>0.0</v>
      </c>
      <c r="N92" s="42">
        <v>1.75E8</v>
      </c>
      <c r="O92" s="42">
        <f>144890450+99575600+129230711</f>
        <v>373696761</v>
      </c>
      <c r="P92" s="64">
        <f t="shared" si="2"/>
        <v>548696761</v>
      </c>
      <c r="Q92" s="56">
        <v>0.0</v>
      </c>
      <c r="R92" s="59">
        <v>0.0</v>
      </c>
      <c r="S92" s="65">
        <f t="shared" si="3"/>
        <v>548696761</v>
      </c>
      <c r="T92" s="78" t="s">
        <v>53</v>
      </c>
      <c r="U92" s="78" t="s">
        <v>70</v>
      </c>
      <c r="V92" s="75">
        <v>44406.0</v>
      </c>
      <c r="W92" s="76">
        <v>45960.0</v>
      </c>
      <c r="X92" s="76">
        <v>46021.0</v>
      </c>
      <c r="Y92" s="61">
        <v>0.0</v>
      </c>
      <c r="Z92" s="69">
        <v>0.0</v>
      </c>
      <c r="AA92" s="76">
        <v>46021.0</v>
      </c>
      <c r="AB92" s="27">
        <f t="shared" si="4"/>
        <v>-161</v>
      </c>
      <c r="AC92" s="73">
        <v>300.0</v>
      </c>
      <c r="AD92" s="63">
        <v>0.0</v>
      </c>
      <c r="AE92" s="42">
        <f t="shared" si="12"/>
        <v>175000000</v>
      </c>
      <c r="AF92" s="42">
        <v>1.75E8</v>
      </c>
      <c r="AG92" s="77">
        <f t="shared" si="13"/>
        <v>0.6</v>
      </c>
      <c r="AH92" s="77">
        <f t="shared" si="7"/>
        <v>1</v>
      </c>
      <c r="AI92" s="60" t="s">
        <v>491</v>
      </c>
      <c r="AJ92" s="38"/>
      <c r="AK92" s="31"/>
      <c r="AL92" s="38"/>
      <c r="AM92" s="39"/>
      <c r="AN92" s="39"/>
      <c r="AO92" s="39"/>
      <c r="AP92" s="34"/>
      <c r="AQ92" s="39"/>
      <c r="AR92" s="35"/>
      <c r="AS92" s="50"/>
      <c r="AT92" s="52" t="s">
        <v>90</v>
      </c>
      <c r="AU92" s="50"/>
    </row>
    <row r="93" ht="102.0" customHeight="1">
      <c r="A93" s="28">
        <v>2025.0</v>
      </c>
      <c r="B93" s="60" t="s">
        <v>221</v>
      </c>
      <c r="C93" s="40" t="s">
        <v>63</v>
      </c>
      <c r="D93" s="72" t="s">
        <v>64</v>
      </c>
      <c r="E93" s="37" t="s">
        <v>492</v>
      </c>
      <c r="F93" s="60" t="s">
        <v>228</v>
      </c>
      <c r="G93" s="60" t="str">
        <f t="shared" si="11"/>
        <v>DABEIBA</v>
      </c>
      <c r="H93" s="60" t="s">
        <v>116</v>
      </c>
      <c r="I93" s="60" t="s">
        <v>493</v>
      </c>
      <c r="J93" s="60" t="s">
        <v>494</v>
      </c>
      <c r="K93" s="60">
        <v>2.0</v>
      </c>
      <c r="L93" s="73">
        <v>300.0</v>
      </c>
      <c r="M93" s="63">
        <v>0.0</v>
      </c>
      <c r="N93" s="42">
        <v>1.05E8</v>
      </c>
      <c r="O93" s="42">
        <v>3.17209141E8</v>
      </c>
      <c r="P93" s="64">
        <f t="shared" si="2"/>
        <v>422209141</v>
      </c>
      <c r="Q93" s="56">
        <v>0.0</v>
      </c>
      <c r="R93" s="59">
        <v>0.0</v>
      </c>
      <c r="S93" s="65">
        <f t="shared" si="3"/>
        <v>422209141</v>
      </c>
      <c r="T93" s="78" t="s">
        <v>53</v>
      </c>
      <c r="U93" s="78" t="s">
        <v>53</v>
      </c>
      <c r="V93" s="75">
        <v>44406.0</v>
      </c>
      <c r="W93" s="76">
        <v>45960.0</v>
      </c>
      <c r="X93" s="76">
        <v>46021.0</v>
      </c>
      <c r="Y93" s="61">
        <v>0.0</v>
      </c>
      <c r="Z93" s="69">
        <v>0.0</v>
      </c>
      <c r="AA93" s="76">
        <v>46021.0</v>
      </c>
      <c r="AB93" s="27">
        <f t="shared" si="4"/>
        <v>-161</v>
      </c>
      <c r="AC93" s="73">
        <v>300.0</v>
      </c>
      <c r="AD93" s="63">
        <v>0.0</v>
      </c>
      <c r="AE93" s="42">
        <f t="shared" si="12"/>
        <v>105000000</v>
      </c>
      <c r="AF93" s="42">
        <v>1.75E8</v>
      </c>
      <c r="AG93" s="77">
        <f t="shared" si="13"/>
        <v>1</v>
      </c>
      <c r="AH93" s="77">
        <f t="shared" si="7"/>
        <v>1.666666667</v>
      </c>
      <c r="AI93" s="60" t="s">
        <v>351</v>
      </c>
      <c r="AJ93" s="38"/>
      <c r="AK93" s="31"/>
      <c r="AL93" s="38"/>
      <c r="AM93" s="39"/>
      <c r="AN93" s="39"/>
      <c r="AO93" s="39"/>
      <c r="AP93" s="34"/>
      <c r="AQ93" s="39"/>
      <c r="AR93" s="35"/>
      <c r="AS93" s="50"/>
      <c r="AT93" s="52" t="s">
        <v>90</v>
      </c>
      <c r="AU93" s="50"/>
    </row>
    <row r="94" ht="102.0" customHeight="1">
      <c r="A94" s="28">
        <v>2025.0</v>
      </c>
      <c r="B94" s="60" t="s">
        <v>221</v>
      </c>
      <c r="C94" s="40" t="s">
        <v>63</v>
      </c>
      <c r="D94" s="72" t="s">
        <v>64</v>
      </c>
      <c r="E94" s="37" t="s">
        <v>495</v>
      </c>
      <c r="F94" s="60" t="s">
        <v>496</v>
      </c>
      <c r="G94" s="60" t="str">
        <f t="shared" si="11"/>
        <v>GIRALDO</v>
      </c>
      <c r="H94" s="60" t="s">
        <v>116</v>
      </c>
      <c r="I94" s="60" t="s">
        <v>497</v>
      </c>
      <c r="J94" s="60" t="s">
        <v>498</v>
      </c>
      <c r="K94" s="60">
        <v>2.0</v>
      </c>
      <c r="L94" s="73">
        <v>500.0</v>
      </c>
      <c r="M94" s="63">
        <v>0.0</v>
      </c>
      <c r="N94" s="42">
        <v>1.75E8</v>
      </c>
      <c r="O94" s="42">
        <v>3.19023422E8</v>
      </c>
      <c r="P94" s="64">
        <f t="shared" si="2"/>
        <v>494023422</v>
      </c>
      <c r="Q94" s="56">
        <v>0.0</v>
      </c>
      <c r="R94" s="59">
        <v>0.0</v>
      </c>
      <c r="S94" s="65">
        <f t="shared" si="3"/>
        <v>494023422</v>
      </c>
      <c r="T94" s="78" t="s">
        <v>53</v>
      </c>
      <c r="U94" s="78" t="s">
        <v>53</v>
      </c>
      <c r="V94" s="75">
        <v>44406.0</v>
      </c>
      <c r="W94" s="76">
        <v>45960.0</v>
      </c>
      <c r="X94" s="76">
        <v>46021.0</v>
      </c>
      <c r="Y94" s="61">
        <v>0.0</v>
      </c>
      <c r="Z94" s="69">
        <v>0.0</v>
      </c>
      <c r="AA94" s="76">
        <v>46021.0</v>
      </c>
      <c r="AB94" s="27">
        <f t="shared" si="4"/>
        <v>-161</v>
      </c>
      <c r="AC94" s="73">
        <v>500.0</v>
      </c>
      <c r="AD94" s="63">
        <v>0.0</v>
      </c>
      <c r="AE94" s="42">
        <f t="shared" si="12"/>
        <v>175000000</v>
      </c>
      <c r="AF94" s="42">
        <v>1.75E8</v>
      </c>
      <c r="AG94" s="77">
        <f t="shared" si="13"/>
        <v>1</v>
      </c>
      <c r="AH94" s="77">
        <f t="shared" si="7"/>
        <v>1</v>
      </c>
      <c r="AI94" s="60" t="s">
        <v>499</v>
      </c>
      <c r="AJ94" s="38"/>
      <c r="AK94" s="31"/>
      <c r="AL94" s="38"/>
      <c r="AM94" s="39"/>
      <c r="AN94" s="39"/>
      <c r="AO94" s="39"/>
      <c r="AP94" s="34"/>
      <c r="AQ94" s="39"/>
      <c r="AR94" s="35"/>
      <c r="AS94" s="50"/>
      <c r="AT94" s="52" t="s">
        <v>90</v>
      </c>
      <c r="AU94" s="50"/>
    </row>
    <row r="95" ht="102.0" customHeight="1">
      <c r="A95" s="28">
        <v>2025.0</v>
      </c>
      <c r="B95" s="60" t="s">
        <v>221</v>
      </c>
      <c r="C95" s="40" t="s">
        <v>63</v>
      </c>
      <c r="D95" s="72" t="s">
        <v>64</v>
      </c>
      <c r="E95" s="37" t="s">
        <v>500</v>
      </c>
      <c r="F95" s="60" t="s">
        <v>223</v>
      </c>
      <c r="G95" s="60" t="str">
        <f t="shared" si="11"/>
        <v>CAÑASGORDAS</v>
      </c>
      <c r="H95" s="60" t="s">
        <v>116</v>
      </c>
      <c r="I95" s="60" t="s">
        <v>501</v>
      </c>
      <c r="J95" s="60" t="s">
        <v>502</v>
      </c>
      <c r="K95" s="60">
        <v>2.0</v>
      </c>
      <c r="L95" s="73">
        <v>500.0</v>
      </c>
      <c r="M95" s="63">
        <v>0.0</v>
      </c>
      <c r="N95" s="42">
        <v>1.75E8</v>
      </c>
      <c r="O95" s="42">
        <v>2.01387052E8</v>
      </c>
      <c r="P95" s="64">
        <f t="shared" si="2"/>
        <v>376387052</v>
      </c>
      <c r="Q95" s="56">
        <v>0.0</v>
      </c>
      <c r="R95" s="59">
        <v>0.0</v>
      </c>
      <c r="S95" s="65">
        <f t="shared" si="3"/>
        <v>376387052</v>
      </c>
      <c r="T95" s="78" t="s">
        <v>53</v>
      </c>
      <c r="U95" s="78" t="s">
        <v>53</v>
      </c>
      <c r="V95" s="75">
        <v>44406.0</v>
      </c>
      <c r="W95" s="76">
        <v>45960.0</v>
      </c>
      <c r="X95" s="76">
        <v>46021.0</v>
      </c>
      <c r="Y95" s="61">
        <v>0.0</v>
      </c>
      <c r="Z95" s="69">
        <v>0.0</v>
      </c>
      <c r="AA95" s="76">
        <v>46021.0</v>
      </c>
      <c r="AB95" s="27">
        <f t="shared" si="4"/>
        <v>-161</v>
      </c>
      <c r="AC95" s="73">
        <v>500.0</v>
      </c>
      <c r="AD95" s="63">
        <v>0.0</v>
      </c>
      <c r="AE95" s="42">
        <f t="shared" si="12"/>
        <v>175000000</v>
      </c>
      <c r="AF95" s="42">
        <v>1.75E8</v>
      </c>
      <c r="AG95" s="77">
        <f t="shared" si="13"/>
        <v>1</v>
      </c>
      <c r="AH95" s="77">
        <f t="shared" si="7"/>
        <v>1</v>
      </c>
      <c r="AI95" s="60" t="s">
        <v>351</v>
      </c>
      <c r="AJ95" s="38"/>
      <c r="AK95" s="31"/>
      <c r="AL95" s="38"/>
      <c r="AM95" s="39"/>
      <c r="AN95" s="39"/>
      <c r="AO95" s="39"/>
      <c r="AP95" s="34"/>
      <c r="AQ95" s="39"/>
      <c r="AR95" s="35"/>
      <c r="AS95" s="50"/>
      <c r="AT95" s="52" t="s">
        <v>90</v>
      </c>
      <c r="AU95" s="50"/>
    </row>
    <row r="96" ht="102.0" customHeight="1">
      <c r="A96" s="28">
        <v>2025.0</v>
      </c>
      <c r="B96" s="60" t="s">
        <v>221</v>
      </c>
      <c r="C96" s="40" t="s">
        <v>63</v>
      </c>
      <c r="D96" s="72" t="s">
        <v>64</v>
      </c>
      <c r="E96" s="37" t="s">
        <v>503</v>
      </c>
      <c r="F96" s="60" t="s">
        <v>504</v>
      </c>
      <c r="G96" s="60" t="str">
        <f t="shared" si="11"/>
        <v>CAICEDO</v>
      </c>
      <c r="H96" s="60" t="s">
        <v>116</v>
      </c>
      <c r="I96" s="60" t="s">
        <v>505</v>
      </c>
      <c r="J96" s="60" t="s">
        <v>506</v>
      </c>
      <c r="K96" s="60">
        <v>2.0</v>
      </c>
      <c r="L96" s="73">
        <v>200.0</v>
      </c>
      <c r="M96" s="63">
        <v>0.0</v>
      </c>
      <c r="N96" s="42">
        <v>7.0E7</v>
      </c>
      <c r="O96" s="42">
        <v>1.2451713E8</v>
      </c>
      <c r="P96" s="64">
        <f t="shared" si="2"/>
        <v>194517130</v>
      </c>
      <c r="Q96" s="56">
        <v>0.0</v>
      </c>
      <c r="R96" s="59">
        <v>0.0</v>
      </c>
      <c r="S96" s="65">
        <f t="shared" si="3"/>
        <v>194517130</v>
      </c>
      <c r="T96" s="78" t="s">
        <v>53</v>
      </c>
      <c r="U96" s="78" t="s">
        <v>53</v>
      </c>
      <c r="V96" s="75">
        <v>44406.0</v>
      </c>
      <c r="W96" s="76">
        <v>45958.0</v>
      </c>
      <c r="X96" s="76">
        <v>46019.0</v>
      </c>
      <c r="Y96" s="61">
        <v>0.0</v>
      </c>
      <c r="Z96" s="69">
        <v>0.0</v>
      </c>
      <c r="AA96" s="76">
        <v>46019.0</v>
      </c>
      <c r="AB96" s="27">
        <f t="shared" si="4"/>
        <v>-163</v>
      </c>
      <c r="AC96" s="73">
        <v>200.0</v>
      </c>
      <c r="AD96" s="63">
        <v>0.0</v>
      </c>
      <c r="AE96" s="42">
        <f t="shared" si="12"/>
        <v>70000000</v>
      </c>
      <c r="AF96" s="42">
        <v>7.0E7</v>
      </c>
      <c r="AG96" s="77">
        <f t="shared" si="13"/>
        <v>1</v>
      </c>
      <c r="AH96" s="77">
        <f t="shared" si="7"/>
        <v>1</v>
      </c>
      <c r="AI96" s="60" t="s">
        <v>351</v>
      </c>
      <c r="AJ96" s="38"/>
      <c r="AK96" s="31"/>
      <c r="AL96" s="38"/>
      <c r="AM96" s="39"/>
      <c r="AN96" s="39"/>
      <c r="AO96" s="39"/>
      <c r="AP96" s="34"/>
      <c r="AQ96" s="39"/>
      <c r="AR96" s="35"/>
      <c r="AS96" s="50"/>
      <c r="AT96" s="52" t="s">
        <v>90</v>
      </c>
      <c r="AU96" s="50"/>
    </row>
    <row r="97" ht="102.0" customHeight="1">
      <c r="A97" s="28">
        <v>2025.0</v>
      </c>
      <c r="B97" s="60" t="s">
        <v>221</v>
      </c>
      <c r="C97" s="40" t="s">
        <v>63</v>
      </c>
      <c r="D97" s="60" t="s">
        <v>507</v>
      </c>
      <c r="E97" s="37" t="s">
        <v>508</v>
      </c>
      <c r="F97" s="60" t="s">
        <v>504</v>
      </c>
      <c r="G97" s="60" t="s">
        <v>509</v>
      </c>
      <c r="H97" s="60" t="s">
        <v>116</v>
      </c>
      <c r="I97" s="60" t="s">
        <v>510</v>
      </c>
      <c r="J97" s="60" t="s">
        <v>511</v>
      </c>
      <c r="K97" s="60">
        <v>1.5</v>
      </c>
      <c r="L97" s="73">
        <v>100.0</v>
      </c>
      <c r="M97" s="63">
        <v>0.0</v>
      </c>
      <c r="N97" s="42">
        <v>1.22406429E8</v>
      </c>
      <c r="O97" s="42">
        <v>1.3131454E7</v>
      </c>
      <c r="P97" s="64">
        <f t="shared" si="2"/>
        <v>135537883</v>
      </c>
      <c r="Q97" s="59">
        <v>0.0</v>
      </c>
      <c r="R97" s="59">
        <v>0.0</v>
      </c>
      <c r="S97" s="65">
        <f t="shared" si="3"/>
        <v>135537883</v>
      </c>
      <c r="T97" s="74" t="s">
        <v>53</v>
      </c>
      <c r="U97" s="74" t="s">
        <v>53</v>
      </c>
      <c r="V97" s="75">
        <v>44406.0</v>
      </c>
      <c r="W97" s="76">
        <v>46003.0</v>
      </c>
      <c r="X97" s="76">
        <v>46049.0</v>
      </c>
      <c r="Y97" s="61">
        <v>0.0</v>
      </c>
      <c r="Z97" s="61"/>
      <c r="AA97" s="76">
        <v>46049.0</v>
      </c>
      <c r="AB97" s="27">
        <f t="shared" si="4"/>
        <v>-133</v>
      </c>
      <c r="AC97" s="73">
        <v>100.0</v>
      </c>
      <c r="AD97" s="63">
        <v>0.0</v>
      </c>
      <c r="AE97" s="42">
        <v>1.22406429E8</v>
      </c>
      <c r="AF97" s="42">
        <v>1.16286108E8</v>
      </c>
      <c r="AG97" s="77">
        <f t="shared" si="13"/>
        <v>1</v>
      </c>
      <c r="AH97" s="77">
        <f t="shared" si="7"/>
        <v>0.9500000037</v>
      </c>
      <c r="AI97" s="60" t="s">
        <v>512</v>
      </c>
      <c r="AJ97" s="38"/>
      <c r="AK97" s="31"/>
      <c r="AL97" s="38"/>
      <c r="AM97" s="39"/>
      <c r="AN97" s="39"/>
      <c r="AO97" s="39"/>
      <c r="AP97" s="34"/>
      <c r="AQ97" s="39"/>
      <c r="AR97" s="38"/>
      <c r="AS97" s="50"/>
      <c r="AT97" s="52" t="s">
        <v>90</v>
      </c>
      <c r="AU97" s="50"/>
    </row>
    <row r="98" ht="102.0" customHeight="1">
      <c r="A98" s="28">
        <v>2025.0</v>
      </c>
      <c r="B98" s="60" t="s">
        <v>513</v>
      </c>
      <c r="C98" s="40" t="s">
        <v>63</v>
      </c>
      <c r="D98" s="72" t="s">
        <v>64</v>
      </c>
      <c r="E98" s="37" t="s">
        <v>514</v>
      </c>
      <c r="F98" s="60" t="s">
        <v>515</v>
      </c>
      <c r="G98" s="60" t="str">
        <f t="shared" ref="G98:G110" si="14">F98</f>
        <v>JARDÍN</v>
      </c>
      <c r="H98" s="60" t="s">
        <v>67</v>
      </c>
      <c r="I98" s="60" t="s">
        <v>516</v>
      </c>
      <c r="J98" s="60" t="s">
        <v>517</v>
      </c>
      <c r="K98" s="60">
        <v>1.5</v>
      </c>
      <c r="L98" s="73">
        <v>500.0</v>
      </c>
      <c r="M98" s="63">
        <v>0.0</v>
      </c>
      <c r="N98" s="42">
        <v>1.75E8</v>
      </c>
      <c r="O98" s="42">
        <v>0.0</v>
      </c>
      <c r="P98" s="64">
        <f t="shared" si="2"/>
        <v>175000000</v>
      </c>
      <c r="Q98" s="56">
        <v>0.0</v>
      </c>
      <c r="R98" s="59">
        <v>0.0</v>
      </c>
      <c r="S98" s="65">
        <f t="shared" si="3"/>
        <v>175000000</v>
      </c>
      <c r="T98" s="78" t="s">
        <v>53</v>
      </c>
      <c r="U98" s="78" t="s">
        <v>53</v>
      </c>
      <c r="V98" s="75">
        <v>44406.0</v>
      </c>
      <c r="W98" s="76">
        <v>45975.0</v>
      </c>
      <c r="X98" s="76">
        <v>46022.0</v>
      </c>
      <c r="Y98" s="61">
        <v>0.0</v>
      </c>
      <c r="Z98" s="69">
        <v>0.0</v>
      </c>
      <c r="AA98" s="76">
        <v>46022.0</v>
      </c>
      <c r="AB98" s="27">
        <f t="shared" si="4"/>
        <v>-160</v>
      </c>
      <c r="AC98" s="73">
        <v>500.0</v>
      </c>
      <c r="AD98" s="63">
        <v>0.0</v>
      </c>
      <c r="AE98" s="42">
        <f t="shared" ref="AE98:AE110" si="15">N98</f>
        <v>175000000</v>
      </c>
      <c r="AF98" s="42">
        <v>1.75E8</v>
      </c>
      <c r="AG98" s="77">
        <f t="shared" si="13"/>
        <v>1</v>
      </c>
      <c r="AH98" s="77">
        <f t="shared" si="7"/>
        <v>1</v>
      </c>
      <c r="AI98" s="60" t="s">
        <v>518</v>
      </c>
      <c r="AJ98" s="38"/>
      <c r="AK98" s="31"/>
      <c r="AL98" s="38"/>
      <c r="AM98" s="39"/>
      <c r="AN98" s="39"/>
      <c r="AO98" s="39"/>
      <c r="AP98" s="34"/>
      <c r="AQ98" s="39"/>
      <c r="AR98" s="35"/>
      <c r="AS98" s="50"/>
      <c r="AT98" s="52" t="s">
        <v>90</v>
      </c>
      <c r="AU98" s="50"/>
    </row>
    <row r="99" ht="102.0" customHeight="1">
      <c r="A99" s="28">
        <v>2025.0</v>
      </c>
      <c r="B99" s="60" t="s">
        <v>513</v>
      </c>
      <c r="C99" s="40" t="s">
        <v>63</v>
      </c>
      <c r="D99" s="72" t="s">
        <v>64</v>
      </c>
      <c r="E99" s="37" t="s">
        <v>519</v>
      </c>
      <c r="F99" s="60" t="s">
        <v>520</v>
      </c>
      <c r="G99" s="60" t="str">
        <f t="shared" si="14"/>
        <v>HISPANIA</v>
      </c>
      <c r="H99" s="60" t="s">
        <v>67</v>
      </c>
      <c r="I99" s="60" t="s">
        <v>521</v>
      </c>
      <c r="J99" s="60" t="s">
        <v>522</v>
      </c>
      <c r="K99" s="60">
        <v>1.5</v>
      </c>
      <c r="L99" s="73">
        <v>500.0</v>
      </c>
      <c r="M99" s="63">
        <v>0.0</v>
      </c>
      <c r="N99" s="42">
        <v>1.75E8</v>
      </c>
      <c r="O99" s="42">
        <v>0.0</v>
      </c>
      <c r="P99" s="64">
        <f t="shared" si="2"/>
        <v>175000000</v>
      </c>
      <c r="Q99" s="56">
        <v>0.0</v>
      </c>
      <c r="R99" s="59">
        <v>0.0</v>
      </c>
      <c r="S99" s="65">
        <f t="shared" si="3"/>
        <v>175000000</v>
      </c>
      <c r="T99" s="78" t="s">
        <v>53</v>
      </c>
      <c r="U99" s="78" t="s">
        <v>53</v>
      </c>
      <c r="V99" s="75">
        <v>44406.0</v>
      </c>
      <c r="W99" s="76">
        <v>45975.0</v>
      </c>
      <c r="X99" s="76">
        <v>46022.0</v>
      </c>
      <c r="Y99" s="61">
        <v>0.0</v>
      </c>
      <c r="Z99" s="69">
        <v>0.0</v>
      </c>
      <c r="AA99" s="76">
        <v>46022.0</v>
      </c>
      <c r="AB99" s="27">
        <f t="shared" si="4"/>
        <v>-160</v>
      </c>
      <c r="AC99" s="73">
        <v>500.0</v>
      </c>
      <c r="AD99" s="63">
        <v>0.0</v>
      </c>
      <c r="AE99" s="42">
        <f t="shared" si="15"/>
        <v>175000000</v>
      </c>
      <c r="AF99" s="42">
        <v>1.75E8</v>
      </c>
      <c r="AG99" s="77">
        <f t="shared" si="13"/>
        <v>1</v>
      </c>
      <c r="AH99" s="77">
        <f t="shared" si="7"/>
        <v>1</v>
      </c>
      <c r="AI99" s="60" t="s">
        <v>523</v>
      </c>
      <c r="AJ99" s="38"/>
      <c r="AK99" s="31"/>
      <c r="AL99" s="38"/>
      <c r="AM99" s="39"/>
      <c r="AN99" s="39"/>
      <c r="AO99" s="39"/>
      <c r="AP99" s="34"/>
      <c r="AQ99" s="39"/>
      <c r="AR99" s="35"/>
      <c r="AS99" s="50"/>
      <c r="AT99" s="52" t="s">
        <v>90</v>
      </c>
      <c r="AU99" s="50"/>
    </row>
    <row r="100" ht="102.0" customHeight="1">
      <c r="A100" s="28">
        <v>2025.0</v>
      </c>
      <c r="B100" s="60" t="s">
        <v>513</v>
      </c>
      <c r="C100" s="40" t="s">
        <v>63</v>
      </c>
      <c r="D100" s="72" t="s">
        <v>64</v>
      </c>
      <c r="E100" s="37" t="s">
        <v>524</v>
      </c>
      <c r="F100" s="60" t="s">
        <v>353</v>
      </c>
      <c r="G100" s="60" t="str">
        <f t="shared" si="14"/>
        <v>SAN PEDRO DE URABÁ</v>
      </c>
      <c r="H100" s="60" t="s">
        <v>50</v>
      </c>
      <c r="I100" s="60" t="s">
        <v>525</v>
      </c>
      <c r="J100" s="60" t="s">
        <v>526</v>
      </c>
      <c r="K100" s="60">
        <v>1.5</v>
      </c>
      <c r="L100" s="73">
        <v>500.0</v>
      </c>
      <c r="M100" s="63">
        <v>0.0</v>
      </c>
      <c r="N100" s="42">
        <v>1.75E8</v>
      </c>
      <c r="O100" s="42">
        <v>0.0</v>
      </c>
      <c r="P100" s="64">
        <f t="shared" si="2"/>
        <v>175000000</v>
      </c>
      <c r="Q100" s="56">
        <v>0.0</v>
      </c>
      <c r="R100" s="59">
        <v>0.0</v>
      </c>
      <c r="S100" s="65">
        <f t="shared" si="3"/>
        <v>175000000</v>
      </c>
      <c r="T100" s="78" t="s">
        <v>53</v>
      </c>
      <c r="U100" s="78" t="s">
        <v>70</v>
      </c>
      <c r="V100" s="75">
        <v>44406.0</v>
      </c>
      <c r="W100" s="76">
        <v>45975.0</v>
      </c>
      <c r="X100" s="76">
        <v>46022.0</v>
      </c>
      <c r="Y100" s="61">
        <v>0.0</v>
      </c>
      <c r="Z100" s="69">
        <v>0.0</v>
      </c>
      <c r="AA100" s="76">
        <v>46022.0</v>
      </c>
      <c r="AB100" s="27">
        <f t="shared" si="4"/>
        <v>-160</v>
      </c>
      <c r="AC100" s="73">
        <v>100.0</v>
      </c>
      <c r="AD100" s="63">
        <v>0.0</v>
      </c>
      <c r="AE100" s="42">
        <f t="shared" si="15"/>
        <v>175000000</v>
      </c>
      <c r="AF100" s="42">
        <v>1.75E8</v>
      </c>
      <c r="AG100" s="77">
        <f t="shared" si="13"/>
        <v>0.2</v>
      </c>
      <c r="AH100" s="77">
        <f t="shared" si="7"/>
        <v>1</v>
      </c>
      <c r="AI100" s="60" t="s">
        <v>523</v>
      </c>
      <c r="AJ100" s="38"/>
      <c r="AK100" s="31"/>
      <c r="AL100" s="38"/>
      <c r="AM100" s="39"/>
      <c r="AN100" s="39"/>
      <c r="AO100" s="39"/>
      <c r="AP100" s="34"/>
      <c r="AQ100" s="39"/>
      <c r="AR100" s="35"/>
      <c r="AS100" s="50"/>
      <c r="AT100" s="52" t="s">
        <v>90</v>
      </c>
      <c r="AU100" s="50"/>
    </row>
    <row r="101" ht="102.0" customHeight="1">
      <c r="A101" s="28">
        <v>2025.0</v>
      </c>
      <c r="B101" s="60" t="s">
        <v>253</v>
      </c>
      <c r="C101" s="40" t="s">
        <v>63</v>
      </c>
      <c r="D101" s="72" t="s">
        <v>64</v>
      </c>
      <c r="E101" s="37" t="s">
        <v>527</v>
      </c>
      <c r="F101" s="60" t="s">
        <v>263</v>
      </c>
      <c r="G101" s="60" t="str">
        <f t="shared" si="14"/>
        <v>EL PEÑOL</v>
      </c>
      <c r="H101" s="60" t="s">
        <v>109</v>
      </c>
      <c r="I101" s="60" t="s">
        <v>528</v>
      </c>
      <c r="J101" s="60" t="s">
        <v>529</v>
      </c>
      <c r="K101" s="60">
        <v>8.0</v>
      </c>
      <c r="L101" s="73">
        <v>1000.0</v>
      </c>
      <c r="M101" s="63">
        <v>0.0</v>
      </c>
      <c r="N101" s="42">
        <v>3.30517929E8</v>
      </c>
      <c r="O101" s="42">
        <v>4.0086953E8</v>
      </c>
      <c r="P101" s="64">
        <f t="shared" si="2"/>
        <v>731387459</v>
      </c>
      <c r="Q101" s="59">
        <v>0.0</v>
      </c>
      <c r="R101" s="59">
        <v>0.0</v>
      </c>
      <c r="S101" s="65">
        <f t="shared" si="3"/>
        <v>731387459</v>
      </c>
      <c r="T101" s="74" t="s">
        <v>53</v>
      </c>
      <c r="U101" s="74" t="s">
        <v>53</v>
      </c>
      <c r="V101" s="75">
        <v>44406.0</v>
      </c>
      <c r="W101" s="76">
        <v>45777.0</v>
      </c>
      <c r="X101" s="76">
        <v>46021.0</v>
      </c>
      <c r="Y101" s="61">
        <v>0.0</v>
      </c>
      <c r="Z101" s="69">
        <v>0.0</v>
      </c>
      <c r="AA101" s="76">
        <v>46021.0</v>
      </c>
      <c r="AB101" s="27">
        <f t="shared" si="4"/>
        <v>-161</v>
      </c>
      <c r="AC101" s="73">
        <v>1000.0</v>
      </c>
      <c r="AD101" s="63">
        <v>0.0</v>
      </c>
      <c r="AE101" s="42">
        <f t="shared" si="15"/>
        <v>330517929</v>
      </c>
      <c r="AF101" s="42">
        <v>3.30517929E8</v>
      </c>
      <c r="AG101" s="77">
        <f t="shared" si="13"/>
        <v>1</v>
      </c>
      <c r="AH101" s="77">
        <f t="shared" si="7"/>
        <v>1</v>
      </c>
      <c r="AI101" s="60" t="s">
        <v>530</v>
      </c>
      <c r="AJ101" s="38"/>
      <c r="AK101" s="31"/>
      <c r="AL101" s="38"/>
      <c r="AM101" s="39"/>
      <c r="AN101" s="39"/>
      <c r="AO101" s="39"/>
      <c r="AP101" s="34"/>
      <c r="AQ101" s="39"/>
      <c r="AR101" s="35"/>
      <c r="AS101" s="50"/>
      <c r="AT101" s="52" t="s">
        <v>90</v>
      </c>
      <c r="AU101" s="50"/>
    </row>
    <row r="102" ht="102.0" customHeight="1">
      <c r="A102" s="28">
        <v>2025.0</v>
      </c>
      <c r="B102" s="60" t="s">
        <v>253</v>
      </c>
      <c r="C102" s="40" t="s">
        <v>63</v>
      </c>
      <c r="D102" s="60" t="s">
        <v>48</v>
      </c>
      <c r="E102" s="37">
        <v>4.600018022E9</v>
      </c>
      <c r="F102" s="60" t="s">
        <v>255</v>
      </c>
      <c r="G102" s="60" t="str">
        <f t="shared" si="14"/>
        <v>COCORNÁ</v>
      </c>
      <c r="H102" s="60" t="s">
        <v>109</v>
      </c>
      <c r="I102" s="60" t="s">
        <v>531</v>
      </c>
      <c r="J102" s="60" t="s">
        <v>532</v>
      </c>
      <c r="K102" s="60">
        <v>7.0</v>
      </c>
      <c r="L102" s="73">
        <v>1000.0</v>
      </c>
      <c r="M102" s="63">
        <v>0.0</v>
      </c>
      <c r="N102" s="42">
        <v>1.88909894E9</v>
      </c>
      <c r="O102" s="42">
        <v>4.72274735E8</v>
      </c>
      <c r="P102" s="64">
        <f t="shared" si="2"/>
        <v>2361373675</v>
      </c>
      <c r="Q102" s="59">
        <v>0.0</v>
      </c>
      <c r="R102" s="59">
        <v>0.0</v>
      </c>
      <c r="S102" s="65">
        <f t="shared" si="3"/>
        <v>2361373675</v>
      </c>
      <c r="T102" s="74" t="s">
        <v>53</v>
      </c>
      <c r="U102" s="78" t="s">
        <v>70</v>
      </c>
      <c r="V102" s="75">
        <v>44406.0</v>
      </c>
      <c r="W102" s="76">
        <v>45798.0</v>
      </c>
      <c r="X102" s="76">
        <v>46022.0</v>
      </c>
      <c r="Y102" s="61">
        <v>0.0</v>
      </c>
      <c r="Z102" s="69">
        <v>0.0</v>
      </c>
      <c r="AA102" s="76">
        <v>46022.0</v>
      </c>
      <c r="AB102" s="27">
        <f t="shared" si="4"/>
        <v>-160</v>
      </c>
      <c r="AC102" s="73">
        <v>950.0</v>
      </c>
      <c r="AD102" s="63">
        <v>0.0</v>
      </c>
      <c r="AE102" s="42">
        <f t="shared" si="15"/>
        <v>1889098940</v>
      </c>
      <c r="AF102" s="42">
        <v>0.0</v>
      </c>
      <c r="AG102" s="77">
        <f t="shared" si="13"/>
        <v>0.95</v>
      </c>
      <c r="AH102" s="77">
        <f t="shared" si="7"/>
        <v>0</v>
      </c>
      <c r="AI102" s="60" t="s">
        <v>533</v>
      </c>
      <c r="AJ102" s="38"/>
      <c r="AK102" s="31"/>
      <c r="AL102" s="38"/>
      <c r="AM102" s="39"/>
      <c r="AN102" s="39"/>
      <c r="AO102" s="39"/>
      <c r="AP102" s="34"/>
      <c r="AQ102" s="39"/>
      <c r="AR102" s="35"/>
      <c r="AS102" s="50"/>
      <c r="AT102" s="52" t="s">
        <v>90</v>
      </c>
      <c r="AU102" s="50"/>
    </row>
    <row r="103" ht="102.0" customHeight="1">
      <c r="A103" s="28">
        <v>2025.0</v>
      </c>
      <c r="B103" s="60" t="s">
        <v>253</v>
      </c>
      <c r="C103" s="40" t="s">
        <v>63</v>
      </c>
      <c r="D103" s="72" t="s">
        <v>64</v>
      </c>
      <c r="E103" s="37" t="s">
        <v>534</v>
      </c>
      <c r="F103" s="60" t="s">
        <v>277</v>
      </c>
      <c r="G103" s="60" t="str">
        <f t="shared" si="14"/>
        <v>NARIÑO</v>
      </c>
      <c r="H103" s="60" t="s">
        <v>109</v>
      </c>
      <c r="I103" s="60" t="s">
        <v>535</v>
      </c>
      <c r="J103" s="60" t="s">
        <v>536</v>
      </c>
      <c r="K103" s="60">
        <v>5.0</v>
      </c>
      <c r="L103" s="73">
        <v>420.0</v>
      </c>
      <c r="M103" s="63">
        <v>0.0</v>
      </c>
      <c r="N103" s="42">
        <v>1.47E8</v>
      </c>
      <c r="O103" s="42">
        <v>0.0</v>
      </c>
      <c r="P103" s="64">
        <f t="shared" si="2"/>
        <v>147000000</v>
      </c>
      <c r="Q103" s="59">
        <v>0.0</v>
      </c>
      <c r="R103" s="59">
        <v>0.0</v>
      </c>
      <c r="S103" s="65">
        <f t="shared" si="3"/>
        <v>147000000</v>
      </c>
      <c r="T103" s="74" t="s">
        <v>53</v>
      </c>
      <c r="U103" s="78" t="s">
        <v>53</v>
      </c>
      <c r="V103" s="75">
        <v>44406.0</v>
      </c>
      <c r="W103" s="76">
        <v>45847.0</v>
      </c>
      <c r="X103" s="76">
        <v>46022.0</v>
      </c>
      <c r="Y103" s="61">
        <v>0.0</v>
      </c>
      <c r="Z103" s="69">
        <v>0.0</v>
      </c>
      <c r="AA103" s="76">
        <v>46022.0</v>
      </c>
      <c r="AB103" s="27">
        <f t="shared" si="4"/>
        <v>-160</v>
      </c>
      <c r="AC103" s="73">
        <v>420.0</v>
      </c>
      <c r="AD103" s="63">
        <v>0.0</v>
      </c>
      <c r="AE103" s="42">
        <f t="shared" si="15"/>
        <v>147000000</v>
      </c>
      <c r="AF103" s="42">
        <v>1.47E8</v>
      </c>
      <c r="AG103" s="77">
        <f t="shared" si="13"/>
        <v>1</v>
      </c>
      <c r="AH103" s="77">
        <f t="shared" si="7"/>
        <v>1</v>
      </c>
      <c r="AI103" s="60" t="s">
        <v>462</v>
      </c>
      <c r="AJ103" s="38"/>
      <c r="AK103" s="31"/>
      <c r="AL103" s="38"/>
      <c r="AM103" s="39"/>
      <c r="AN103" s="39"/>
      <c r="AO103" s="39"/>
      <c r="AP103" s="34"/>
      <c r="AQ103" s="39"/>
      <c r="AR103" s="35"/>
      <c r="AS103" s="50"/>
      <c r="AT103" s="52" t="s">
        <v>90</v>
      </c>
      <c r="AU103" s="50"/>
    </row>
    <row r="104" ht="102.0" customHeight="1">
      <c r="A104" s="28">
        <v>2025.0</v>
      </c>
      <c r="B104" s="60" t="s">
        <v>253</v>
      </c>
      <c r="C104" s="40" t="s">
        <v>63</v>
      </c>
      <c r="D104" s="72" t="s">
        <v>64</v>
      </c>
      <c r="E104" s="37" t="s">
        <v>537</v>
      </c>
      <c r="F104" s="60" t="s">
        <v>272</v>
      </c>
      <c r="G104" s="60" t="str">
        <f t="shared" si="14"/>
        <v>LA UNIÓN</v>
      </c>
      <c r="H104" s="60" t="s">
        <v>109</v>
      </c>
      <c r="I104" s="60" t="s">
        <v>538</v>
      </c>
      <c r="J104" s="60" t="s">
        <v>539</v>
      </c>
      <c r="K104" s="60">
        <v>2.0</v>
      </c>
      <c r="L104" s="73">
        <v>500.0</v>
      </c>
      <c r="M104" s="63">
        <v>0.0</v>
      </c>
      <c r="N104" s="42">
        <v>1.75E8</v>
      </c>
      <c r="O104" s="42">
        <v>4.55409988E8</v>
      </c>
      <c r="P104" s="64">
        <f t="shared" si="2"/>
        <v>630409988</v>
      </c>
      <c r="Q104" s="56">
        <v>0.0</v>
      </c>
      <c r="R104" s="59">
        <v>0.0</v>
      </c>
      <c r="S104" s="65">
        <f t="shared" si="3"/>
        <v>630409988</v>
      </c>
      <c r="T104" s="78" t="s">
        <v>53</v>
      </c>
      <c r="U104" s="78" t="s">
        <v>53</v>
      </c>
      <c r="V104" s="75">
        <v>44406.0</v>
      </c>
      <c r="W104" s="76">
        <v>45960.0</v>
      </c>
      <c r="X104" s="76">
        <v>46021.0</v>
      </c>
      <c r="Y104" s="61">
        <v>3.0</v>
      </c>
      <c r="Z104" s="69">
        <v>0.0</v>
      </c>
      <c r="AA104" s="76">
        <v>46021.0</v>
      </c>
      <c r="AB104" s="27">
        <f t="shared" si="4"/>
        <v>-161</v>
      </c>
      <c r="AC104" s="73">
        <v>500.0</v>
      </c>
      <c r="AD104" s="63">
        <v>0.0</v>
      </c>
      <c r="AE104" s="42">
        <f t="shared" si="15"/>
        <v>175000000</v>
      </c>
      <c r="AF104" s="42">
        <v>1.75E8</v>
      </c>
      <c r="AG104" s="77">
        <f t="shared" si="13"/>
        <v>1</v>
      </c>
      <c r="AH104" s="77">
        <f t="shared" si="7"/>
        <v>1</v>
      </c>
      <c r="AI104" s="60" t="s">
        <v>540</v>
      </c>
      <c r="AJ104" s="38"/>
      <c r="AK104" s="31"/>
      <c r="AL104" s="38"/>
      <c r="AM104" s="39"/>
      <c r="AN104" s="39"/>
      <c r="AO104" s="39"/>
      <c r="AP104" s="34"/>
      <c r="AQ104" s="39"/>
      <c r="AR104" s="35"/>
      <c r="AS104" s="50"/>
      <c r="AT104" s="52" t="s">
        <v>90</v>
      </c>
      <c r="AU104" s="50"/>
    </row>
    <row r="105" ht="102.0" customHeight="1">
      <c r="A105" s="28">
        <v>2025.0</v>
      </c>
      <c r="B105" s="60" t="s">
        <v>253</v>
      </c>
      <c r="C105" s="40" t="s">
        <v>63</v>
      </c>
      <c r="D105" s="72" t="s">
        <v>64</v>
      </c>
      <c r="E105" s="37" t="s">
        <v>541</v>
      </c>
      <c r="F105" s="60" t="s">
        <v>263</v>
      </c>
      <c r="G105" s="60" t="str">
        <f t="shared" si="14"/>
        <v>EL PEÑOL</v>
      </c>
      <c r="H105" s="60" t="s">
        <v>109</v>
      </c>
      <c r="I105" s="60" t="s">
        <v>542</v>
      </c>
      <c r="J105" s="60" t="s">
        <v>485</v>
      </c>
      <c r="K105" s="60">
        <v>2.0</v>
      </c>
      <c r="L105" s="73">
        <v>500.0</v>
      </c>
      <c r="M105" s="63">
        <v>0.0</v>
      </c>
      <c r="N105" s="42">
        <v>1.75E8</v>
      </c>
      <c r="O105" s="42">
        <v>2.03125532E8</v>
      </c>
      <c r="P105" s="64">
        <f t="shared" si="2"/>
        <v>378125532</v>
      </c>
      <c r="Q105" s="56">
        <v>0.0</v>
      </c>
      <c r="R105" s="59">
        <v>0.0</v>
      </c>
      <c r="S105" s="65">
        <f t="shared" si="3"/>
        <v>378125532</v>
      </c>
      <c r="T105" s="78" t="s">
        <v>53</v>
      </c>
      <c r="U105" s="78" t="s">
        <v>53</v>
      </c>
      <c r="V105" s="75">
        <v>44406.0</v>
      </c>
      <c r="W105" s="76">
        <v>45960.0</v>
      </c>
      <c r="X105" s="76">
        <v>46021.0</v>
      </c>
      <c r="Y105" s="61">
        <v>0.0</v>
      </c>
      <c r="Z105" s="69">
        <v>0.0</v>
      </c>
      <c r="AA105" s="76">
        <v>46021.0</v>
      </c>
      <c r="AB105" s="27">
        <f t="shared" si="4"/>
        <v>-161</v>
      </c>
      <c r="AC105" s="73">
        <v>500.0</v>
      </c>
      <c r="AD105" s="63">
        <v>0.0</v>
      </c>
      <c r="AE105" s="42">
        <f t="shared" si="15"/>
        <v>175000000</v>
      </c>
      <c r="AF105" s="42">
        <v>1.75E8</v>
      </c>
      <c r="AG105" s="77">
        <f t="shared" si="13"/>
        <v>1</v>
      </c>
      <c r="AH105" s="77">
        <f t="shared" si="7"/>
        <v>1</v>
      </c>
      <c r="AI105" s="60" t="s">
        <v>462</v>
      </c>
      <c r="AJ105" s="38"/>
      <c r="AK105" s="31"/>
      <c r="AL105" s="38"/>
      <c r="AM105" s="39"/>
      <c r="AN105" s="39"/>
      <c r="AO105" s="39"/>
      <c r="AP105" s="34"/>
      <c r="AQ105" s="39"/>
      <c r="AR105" s="35"/>
      <c r="AS105" s="50"/>
      <c r="AT105" s="52" t="s">
        <v>90</v>
      </c>
      <c r="AU105" s="50"/>
    </row>
    <row r="106" ht="102.0" customHeight="1">
      <c r="A106" s="28">
        <v>2025.0</v>
      </c>
      <c r="B106" s="60" t="s">
        <v>253</v>
      </c>
      <c r="C106" s="40" t="s">
        <v>63</v>
      </c>
      <c r="D106" s="72" t="s">
        <v>64</v>
      </c>
      <c r="E106" s="37" t="s">
        <v>543</v>
      </c>
      <c r="F106" s="60" t="s">
        <v>282</v>
      </c>
      <c r="G106" s="60" t="str">
        <f t="shared" si="14"/>
        <v>SAN CARLOS</v>
      </c>
      <c r="H106" s="60" t="s">
        <v>109</v>
      </c>
      <c r="I106" s="60" t="s">
        <v>544</v>
      </c>
      <c r="J106" s="60" t="s">
        <v>545</v>
      </c>
      <c r="K106" s="60">
        <v>8.0</v>
      </c>
      <c r="L106" s="73">
        <v>500.0</v>
      </c>
      <c r="M106" s="63">
        <v>0.0</v>
      </c>
      <c r="N106" s="42">
        <v>1.75E8</v>
      </c>
      <c r="O106" s="42">
        <v>3.08E8</v>
      </c>
      <c r="P106" s="64">
        <f t="shared" si="2"/>
        <v>483000000</v>
      </c>
      <c r="Q106" s="56">
        <v>0.0</v>
      </c>
      <c r="R106" s="59">
        <v>0.0</v>
      </c>
      <c r="S106" s="65">
        <f t="shared" si="3"/>
        <v>483000000</v>
      </c>
      <c r="T106" s="78" t="s">
        <v>53</v>
      </c>
      <c r="U106" s="78" t="s">
        <v>70</v>
      </c>
      <c r="V106" s="75">
        <v>44406.0</v>
      </c>
      <c r="W106" s="76">
        <v>45965.0</v>
      </c>
      <c r="X106" s="76">
        <v>46022.0</v>
      </c>
      <c r="Y106" s="61">
        <v>0.0</v>
      </c>
      <c r="Z106" s="69">
        <v>0.0</v>
      </c>
      <c r="AA106" s="76">
        <v>46022.0</v>
      </c>
      <c r="AB106" s="27">
        <f t="shared" si="4"/>
        <v>-160</v>
      </c>
      <c r="AC106" s="73">
        <v>300.0</v>
      </c>
      <c r="AD106" s="63">
        <v>0.0</v>
      </c>
      <c r="AE106" s="42">
        <f t="shared" si="15"/>
        <v>175000000</v>
      </c>
      <c r="AF106" s="42">
        <v>1.75E8</v>
      </c>
      <c r="AG106" s="77">
        <f t="shared" si="13"/>
        <v>0.6</v>
      </c>
      <c r="AH106" s="77">
        <f t="shared" si="7"/>
        <v>1</v>
      </c>
      <c r="AI106" s="60" t="s">
        <v>546</v>
      </c>
      <c r="AJ106" s="38"/>
      <c r="AK106" s="31"/>
      <c r="AL106" s="38"/>
      <c r="AM106" s="39"/>
      <c r="AN106" s="39"/>
      <c r="AO106" s="39"/>
      <c r="AP106" s="34"/>
      <c r="AQ106" s="39"/>
      <c r="AR106" s="35"/>
      <c r="AS106" s="50"/>
      <c r="AT106" s="52" t="s">
        <v>90</v>
      </c>
      <c r="AU106" s="50"/>
    </row>
    <row r="107" ht="102.0" customHeight="1">
      <c r="A107" s="28">
        <v>2025.0</v>
      </c>
      <c r="B107" s="60" t="s">
        <v>253</v>
      </c>
      <c r="C107" s="40" t="s">
        <v>63</v>
      </c>
      <c r="D107" s="72" t="s">
        <v>64</v>
      </c>
      <c r="E107" s="37" t="s">
        <v>547</v>
      </c>
      <c r="F107" s="60" t="s">
        <v>277</v>
      </c>
      <c r="G107" s="60" t="str">
        <f t="shared" si="14"/>
        <v>NARIÑO</v>
      </c>
      <c r="H107" s="60" t="s">
        <v>109</v>
      </c>
      <c r="I107" s="60" t="s">
        <v>548</v>
      </c>
      <c r="J107" s="60" t="s">
        <v>549</v>
      </c>
      <c r="K107" s="60">
        <v>2.0</v>
      </c>
      <c r="L107" s="73">
        <v>170.0</v>
      </c>
      <c r="M107" s="63">
        <v>0.0</v>
      </c>
      <c r="N107" s="42">
        <v>5.95E7</v>
      </c>
      <c r="O107" s="42">
        <v>5.25E7</v>
      </c>
      <c r="P107" s="64">
        <f t="shared" si="2"/>
        <v>112000000</v>
      </c>
      <c r="Q107" s="56">
        <v>0.0</v>
      </c>
      <c r="R107" s="59">
        <v>0.0</v>
      </c>
      <c r="S107" s="65">
        <f t="shared" si="3"/>
        <v>112000000</v>
      </c>
      <c r="T107" s="78" t="s">
        <v>53</v>
      </c>
      <c r="U107" s="78" t="s">
        <v>53</v>
      </c>
      <c r="V107" s="75">
        <v>44406.0</v>
      </c>
      <c r="W107" s="76">
        <v>45960.0</v>
      </c>
      <c r="X107" s="76">
        <v>46021.0</v>
      </c>
      <c r="Y107" s="61">
        <v>0.0</v>
      </c>
      <c r="Z107" s="69">
        <v>0.0</v>
      </c>
      <c r="AA107" s="76">
        <v>46021.0</v>
      </c>
      <c r="AB107" s="27">
        <f t="shared" si="4"/>
        <v>-161</v>
      </c>
      <c r="AC107" s="73">
        <v>170.0</v>
      </c>
      <c r="AD107" s="63">
        <v>0.0</v>
      </c>
      <c r="AE107" s="42">
        <f t="shared" si="15"/>
        <v>59500000</v>
      </c>
      <c r="AF107" s="42">
        <v>5.95E7</v>
      </c>
      <c r="AG107" s="77">
        <f t="shared" si="13"/>
        <v>1</v>
      </c>
      <c r="AH107" s="77">
        <f t="shared" si="7"/>
        <v>1</v>
      </c>
      <c r="AI107" s="60" t="s">
        <v>462</v>
      </c>
      <c r="AJ107" s="38"/>
      <c r="AK107" s="31"/>
      <c r="AL107" s="38"/>
      <c r="AM107" s="39"/>
      <c r="AN107" s="39"/>
      <c r="AO107" s="39"/>
      <c r="AP107" s="34"/>
      <c r="AQ107" s="39"/>
      <c r="AR107" s="35"/>
      <c r="AS107" s="50"/>
      <c r="AT107" s="52" t="s">
        <v>90</v>
      </c>
      <c r="AU107" s="50"/>
    </row>
    <row r="108" ht="102.0" customHeight="1">
      <c r="A108" s="28">
        <v>2025.0</v>
      </c>
      <c r="B108" s="60" t="s">
        <v>367</v>
      </c>
      <c r="C108" s="40" t="s">
        <v>63</v>
      </c>
      <c r="D108" s="72" t="s">
        <v>64</v>
      </c>
      <c r="E108" s="37" t="s">
        <v>550</v>
      </c>
      <c r="F108" s="60" t="s">
        <v>551</v>
      </c>
      <c r="G108" s="60" t="str">
        <f t="shared" si="14"/>
        <v>SAN ANDRÉS DE CUERQUIA</v>
      </c>
      <c r="H108" s="60" t="s">
        <v>163</v>
      </c>
      <c r="I108" s="60" t="s">
        <v>552</v>
      </c>
      <c r="J108" s="60" t="s">
        <v>553</v>
      </c>
      <c r="K108" s="60">
        <v>6.0</v>
      </c>
      <c r="L108" s="73">
        <v>1000.0</v>
      </c>
      <c r="M108" s="63">
        <v>0.0</v>
      </c>
      <c r="N108" s="42">
        <v>3.5E8</v>
      </c>
      <c r="O108" s="42">
        <v>5.94865195E8</v>
      </c>
      <c r="P108" s="64">
        <f t="shared" si="2"/>
        <v>944865195</v>
      </c>
      <c r="Q108" s="59">
        <v>0.0</v>
      </c>
      <c r="R108" s="59">
        <v>0.0</v>
      </c>
      <c r="S108" s="65">
        <f t="shared" si="3"/>
        <v>944865195</v>
      </c>
      <c r="T108" s="74" t="s">
        <v>53</v>
      </c>
      <c r="U108" s="74" t="s">
        <v>53</v>
      </c>
      <c r="V108" s="75">
        <v>44406.0</v>
      </c>
      <c r="W108" s="76">
        <v>45821.0</v>
      </c>
      <c r="X108" s="76">
        <v>46004.0</v>
      </c>
      <c r="Y108" s="61">
        <v>0.0</v>
      </c>
      <c r="Z108" s="69">
        <v>0.0</v>
      </c>
      <c r="AA108" s="76">
        <v>46004.0</v>
      </c>
      <c r="AB108" s="27">
        <f t="shared" si="4"/>
        <v>-178</v>
      </c>
      <c r="AC108" s="73">
        <v>1000.0</v>
      </c>
      <c r="AD108" s="63">
        <v>0.0</v>
      </c>
      <c r="AE108" s="42">
        <f t="shared" si="15"/>
        <v>350000000</v>
      </c>
      <c r="AF108" s="42">
        <v>3.5E8</v>
      </c>
      <c r="AG108" s="77">
        <f t="shared" si="13"/>
        <v>1</v>
      </c>
      <c r="AH108" s="77">
        <f t="shared" si="7"/>
        <v>1</v>
      </c>
      <c r="AI108" s="60" t="s">
        <v>554</v>
      </c>
      <c r="AJ108" s="38"/>
      <c r="AK108" s="31"/>
      <c r="AL108" s="38"/>
      <c r="AM108" s="39"/>
      <c r="AN108" s="39"/>
      <c r="AO108" s="39"/>
      <c r="AP108" s="34"/>
      <c r="AQ108" s="39"/>
      <c r="AR108" s="35"/>
      <c r="AS108" s="50"/>
      <c r="AT108" s="52" t="s">
        <v>90</v>
      </c>
      <c r="AU108" s="50"/>
    </row>
    <row r="109" ht="102.0" customHeight="1">
      <c r="A109" s="28">
        <v>2025.0</v>
      </c>
      <c r="B109" s="60" t="s">
        <v>367</v>
      </c>
      <c r="C109" s="40" t="s">
        <v>63</v>
      </c>
      <c r="D109" s="72" t="s">
        <v>64</v>
      </c>
      <c r="E109" s="37" t="s">
        <v>555</v>
      </c>
      <c r="F109" s="60" t="s">
        <v>374</v>
      </c>
      <c r="G109" s="60" t="str">
        <f t="shared" si="14"/>
        <v>BRICEÑO</v>
      </c>
      <c r="H109" s="60" t="s">
        <v>163</v>
      </c>
      <c r="I109" s="60" t="s">
        <v>556</v>
      </c>
      <c r="J109" s="60" t="s">
        <v>557</v>
      </c>
      <c r="K109" s="60">
        <v>2.0</v>
      </c>
      <c r="L109" s="73">
        <v>300.0</v>
      </c>
      <c r="M109" s="63">
        <v>0.0</v>
      </c>
      <c r="N109" s="42">
        <v>1.05E8</v>
      </c>
      <c r="O109" s="42">
        <v>1.1817145E8</v>
      </c>
      <c r="P109" s="64">
        <f t="shared" si="2"/>
        <v>223171450</v>
      </c>
      <c r="Q109" s="56">
        <v>0.0</v>
      </c>
      <c r="R109" s="59">
        <v>0.0</v>
      </c>
      <c r="S109" s="65">
        <f t="shared" si="3"/>
        <v>223171450</v>
      </c>
      <c r="T109" s="78" t="s">
        <v>53</v>
      </c>
      <c r="U109" s="78" t="s">
        <v>53</v>
      </c>
      <c r="V109" s="75">
        <v>44406.0</v>
      </c>
      <c r="W109" s="76">
        <v>45959.0</v>
      </c>
      <c r="X109" s="76">
        <v>46021.0</v>
      </c>
      <c r="Y109" s="61">
        <v>0.0</v>
      </c>
      <c r="Z109" s="69">
        <v>0.0</v>
      </c>
      <c r="AA109" s="76">
        <v>46021.0</v>
      </c>
      <c r="AB109" s="27">
        <f t="shared" si="4"/>
        <v>-161</v>
      </c>
      <c r="AC109" s="73">
        <v>300.0</v>
      </c>
      <c r="AD109" s="63">
        <v>0.0</v>
      </c>
      <c r="AE109" s="42">
        <f t="shared" si="15"/>
        <v>105000000</v>
      </c>
      <c r="AF109" s="42">
        <v>1.05E8</v>
      </c>
      <c r="AG109" s="77">
        <f t="shared" si="13"/>
        <v>1</v>
      </c>
      <c r="AH109" s="77">
        <f t="shared" si="7"/>
        <v>1</v>
      </c>
      <c r="AI109" s="60" t="s">
        <v>381</v>
      </c>
      <c r="AJ109" s="38"/>
      <c r="AK109" s="31"/>
      <c r="AL109" s="38"/>
      <c r="AM109" s="39"/>
      <c r="AN109" s="39"/>
      <c r="AO109" s="39"/>
      <c r="AP109" s="34"/>
      <c r="AQ109" s="39"/>
      <c r="AR109" s="35"/>
      <c r="AS109" s="50"/>
      <c r="AT109" s="52" t="s">
        <v>90</v>
      </c>
      <c r="AU109" s="50"/>
    </row>
    <row r="110" ht="94.5" customHeight="1">
      <c r="A110" s="28">
        <v>2025.0</v>
      </c>
      <c r="B110" s="60" t="s">
        <v>367</v>
      </c>
      <c r="C110" s="40" t="s">
        <v>63</v>
      </c>
      <c r="D110" s="72" t="s">
        <v>64</v>
      </c>
      <c r="E110" s="37" t="s">
        <v>558</v>
      </c>
      <c r="F110" s="60" t="s">
        <v>398</v>
      </c>
      <c r="G110" s="60" t="str">
        <f t="shared" si="14"/>
        <v>TOLEDO</v>
      </c>
      <c r="H110" s="60" t="s">
        <v>163</v>
      </c>
      <c r="I110" s="60" t="s">
        <v>559</v>
      </c>
      <c r="J110" s="60" t="s">
        <v>560</v>
      </c>
      <c r="K110" s="60">
        <v>2.0</v>
      </c>
      <c r="L110" s="73">
        <v>200.0</v>
      </c>
      <c r="M110" s="63">
        <v>0.0</v>
      </c>
      <c r="N110" s="42">
        <v>7.0E7</v>
      </c>
      <c r="O110" s="42">
        <v>2.26832319E8</v>
      </c>
      <c r="P110" s="64">
        <f t="shared" si="2"/>
        <v>296832319</v>
      </c>
      <c r="Q110" s="56">
        <v>0.0</v>
      </c>
      <c r="R110" s="59">
        <v>0.0</v>
      </c>
      <c r="S110" s="65">
        <f t="shared" si="3"/>
        <v>296832319</v>
      </c>
      <c r="T110" s="78" t="s">
        <v>53</v>
      </c>
      <c r="U110" s="78" t="s">
        <v>70</v>
      </c>
      <c r="V110" s="75">
        <v>44406.0</v>
      </c>
      <c r="W110" s="76">
        <v>45959.0</v>
      </c>
      <c r="X110" s="76">
        <v>46021.0</v>
      </c>
      <c r="Y110" s="61">
        <v>0.0</v>
      </c>
      <c r="Z110" s="69">
        <v>0.0</v>
      </c>
      <c r="AA110" s="76">
        <v>46021.0</v>
      </c>
      <c r="AB110" s="27">
        <f t="shared" si="4"/>
        <v>-161</v>
      </c>
      <c r="AC110" s="73">
        <v>100.0</v>
      </c>
      <c r="AD110" s="63">
        <v>0.0</v>
      </c>
      <c r="AE110" s="42">
        <f t="shared" si="15"/>
        <v>70000000</v>
      </c>
      <c r="AF110" s="42">
        <v>7.0E7</v>
      </c>
      <c r="AG110" s="77">
        <f t="shared" si="13"/>
        <v>0.5</v>
      </c>
      <c r="AH110" s="77">
        <f t="shared" si="7"/>
        <v>1</v>
      </c>
      <c r="AI110" s="60" t="s">
        <v>561</v>
      </c>
      <c r="AJ110" s="38"/>
      <c r="AK110" s="31"/>
      <c r="AL110" s="38"/>
      <c r="AM110" s="39"/>
      <c r="AN110" s="39"/>
      <c r="AO110" s="39"/>
      <c r="AP110" s="34"/>
      <c r="AQ110" s="39"/>
      <c r="AR110" s="49"/>
      <c r="AS110" s="50"/>
      <c r="AT110" s="50"/>
      <c r="AU110" s="50"/>
    </row>
    <row r="111" ht="93.75" customHeight="1">
      <c r="A111" s="28">
        <v>2025.0</v>
      </c>
      <c r="B111" s="60" t="s">
        <v>562</v>
      </c>
      <c r="C111" s="40" t="s">
        <v>63</v>
      </c>
      <c r="D111" s="60" t="s">
        <v>507</v>
      </c>
      <c r="E111" s="37" t="s">
        <v>563</v>
      </c>
      <c r="F111" s="60" t="s">
        <v>564</v>
      </c>
      <c r="G111" s="60" t="s">
        <v>565</v>
      </c>
      <c r="H111" s="60" t="s">
        <v>67</v>
      </c>
      <c r="I111" s="60" t="s">
        <v>566</v>
      </c>
      <c r="J111" s="60" t="s">
        <v>567</v>
      </c>
      <c r="K111" s="60">
        <v>1.5</v>
      </c>
      <c r="L111" s="73">
        <v>100.0</v>
      </c>
      <c r="M111" s="63">
        <v>0.0</v>
      </c>
      <c r="N111" s="42">
        <v>1.20911434E8</v>
      </c>
      <c r="O111" s="42">
        <v>1.798656E7</v>
      </c>
      <c r="P111" s="64">
        <f t="shared" si="2"/>
        <v>138897994</v>
      </c>
      <c r="Q111" s="59">
        <v>0.0</v>
      </c>
      <c r="R111" s="59">
        <v>0.0</v>
      </c>
      <c r="S111" s="65">
        <f t="shared" si="3"/>
        <v>138897994</v>
      </c>
      <c r="T111" s="74" t="s">
        <v>53</v>
      </c>
      <c r="U111" s="74" t="s">
        <v>53</v>
      </c>
      <c r="V111" s="75">
        <v>44406.0</v>
      </c>
      <c r="W111" s="76">
        <v>46035.0</v>
      </c>
      <c r="X111" s="76">
        <v>46081.0</v>
      </c>
      <c r="Y111" s="61">
        <v>1.0</v>
      </c>
      <c r="Z111" s="61"/>
      <c r="AA111" s="76">
        <v>46116.0</v>
      </c>
      <c r="AB111" s="27">
        <f t="shared" si="4"/>
        <v>-66</v>
      </c>
      <c r="AC111" s="73">
        <v>100.0</v>
      </c>
      <c r="AD111" s="63">
        <v>0.0</v>
      </c>
      <c r="AE111" s="42">
        <v>1.20911434E8</v>
      </c>
      <c r="AF111" s="42">
        <v>1.14865861E8</v>
      </c>
      <c r="AG111" s="77">
        <f t="shared" si="13"/>
        <v>1</v>
      </c>
      <c r="AH111" s="77">
        <f t="shared" si="7"/>
        <v>0.9499999892</v>
      </c>
      <c r="AI111" s="60" t="s">
        <v>568</v>
      </c>
      <c r="AJ111" s="38"/>
      <c r="AK111" s="31"/>
      <c r="AL111" s="38"/>
      <c r="AM111" s="39"/>
      <c r="AN111" s="39"/>
      <c r="AO111" s="39"/>
      <c r="AP111" s="55"/>
      <c r="AQ111" s="39"/>
      <c r="AR111" s="39"/>
      <c r="AS111" s="50"/>
      <c r="AT111" s="50"/>
      <c r="AU111" s="50"/>
    </row>
    <row r="112" ht="51.75" customHeight="1">
      <c r="A112" s="28">
        <v>2025.0</v>
      </c>
      <c r="B112" s="60" t="s">
        <v>562</v>
      </c>
      <c r="C112" s="40" t="s">
        <v>63</v>
      </c>
      <c r="D112" s="60" t="s">
        <v>507</v>
      </c>
      <c r="E112" s="37" t="s">
        <v>569</v>
      </c>
      <c r="F112" s="60" t="s">
        <v>564</v>
      </c>
      <c r="G112" s="60" t="s">
        <v>570</v>
      </c>
      <c r="H112" s="60" t="s">
        <v>67</v>
      </c>
      <c r="I112" s="60" t="s">
        <v>571</v>
      </c>
      <c r="J112" s="60" t="s">
        <v>572</v>
      </c>
      <c r="K112" s="60">
        <v>1.5</v>
      </c>
      <c r="L112" s="73">
        <v>100.0</v>
      </c>
      <c r="M112" s="63">
        <v>0.0</v>
      </c>
      <c r="N112" s="42">
        <v>1.2066826E8</v>
      </c>
      <c r="O112" s="42">
        <v>1.8199514E7</v>
      </c>
      <c r="P112" s="64">
        <f t="shared" si="2"/>
        <v>138867774</v>
      </c>
      <c r="Q112" s="59">
        <v>0.0</v>
      </c>
      <c r="R112" s="59">
        <v>0.0</v>
      </c>
      <c r="S112" s="65">
        <f t="shared" si="3"/>
        <v>138867774</v>
      </c>
      <c r="T112" s="74" t="s">
        <v>53</v>
      </c>
      <c r="U112" s="74" t="s">
        <v>53</v>
      </c>
      <c r="V112" s="75">
        <v>44406.0</v>
      </c>
      <c r="W112" s="76">
        <v>46035.0</v>
      </c>
      <c r="X112" s="76">
        <v>46081.0</v>
      </c>
      <c r="Y112" s="61"/>
      <c r="Z112" s="61">
        <v>2.0</v>
      </c>
      <c r="AA112" s="76">
        <v>46154.0</v>
      </c>
      <c r="AB112" s="27">
        <f t="shared" si="4"/>
        <v>-28</v>
      </c>
      <c r="AC112" s="73">
        <v>100.0</v>
      </c>
      <c r="AD112" s="63">
        <v>0.0</v>
      </c>
      <c r="AE112" s="42">
        <v>1.2066826E8</v>
      </c>
      <c r="AF112" s="42">
        <v>1.14634847E8</v>
      </c>
      <c r="AG112" s="77">
        <f t="shared" si="13"/>
        <v>1</v>
      </c>
      <c r="AH112" s="77">
        <f t="shared" si="7"/>
        <v>0.95</v>
      </c>
      <c r="AI112" s="60" t="s">
        <v>573</v>
      </c>
      <c r="AJ112" s="38"/>
      <c r="AK112" s="31"/>
      <c r="AL112" s="38"/>
      <c r="AM112" s="39"/>
      <c r="AN112" s="39"/>
      <c r="AO112" s="39"/>
      <c r="AP112" s="34"/>
      <c r="AQ112" s="39"/>
      <c r="AR112" s="35"/>
      <c r="AS112" s="50"/>
      <c r="AT112" s="50"/>
      <c r="AU112" s="50"/>
    </row>
    <row r="113" ht="76.5" customHeight="1">
      <c r="A113" s="28">
        <v>2025.0</v>
      </c>
      <c r="B113" s="60" t="s">
        <v>574</v>
      </c>
      <c r="C113" s="40" t="s">
        <v>63</v>
      </c>
      <c r="D113" s="60" t="s">
        <v>507</v>
      </c>
      <c r="E113" s="37" t="s">
        <v>575</v>
      </c>
      <c r="F113" s="60" t="s">
        <v>316</v>
      </c>
      <c r="G113" s="60" t="s">
        <v>576</v>
      </c>
      <c r="H113" s="60" t="s">
        <v>93</v>
      </c>
      <c r="I113" s="60" t="s">
        <v>577</v>
      </c>
      <c r="J113" s="60" t="s">
        <v>578</v>
      </c>
      <c r="K113" s="60">
        <v>1.5</v>
      </c>
      <c r="L113" s="73">
        <v>100.0</v>
      </c>
      <c r="M113" s="63">
        <v>0.0</v>
      </c>
      <c r="N113" s="42">
        <v>1.22209209E8</v>
      </c>
      <c r="O113" s="42">
        <v>1.8934439E7</v>
      </c>
      <c r="P113" s="64">
        <f t="shared" si="2"/>
        <v>141143648</v>
      </c>
      <c r="Q113" s="59">
        <v>0.0</v>
      </c>
      <c r="R113" s="59">
        <v>0.0</v>
      </c>
      <c r="S113" s="65">
        <f t="shared" si="3"/>
        <v>141143648</v>
      </c>
      <c r="T113" s="74" t="s">
        <v>53</v>
      </c>
      <c r="U113" s="74" t="s">
        <v>53</v>
      </c>
      <c r="V113" s="75">
        <v>44406.0</v>
      </c>
      <c r="W113" s="76">
        <v>46055.0</v>
      </c>
      <c r="X113" s="76">
        <v>46098.0</v>
      </c>
      <c r="Y113" s="61">
        <v>0.0</v>
      </c>
      <c r="Z113" s="69">
        <v>0.0</v>
      </c>
      <c r="AA113" s="76">
        <v>46098.0</v>
      </c>
      <c r="AB113" s="27">
        <f t="shared" si="4"/>
        <v>-84</v>
      </c>
      <c r="AC113" s="73">
        <v>100.0</v>
      </c>
      <c r="AD113" s="63">
        <v>0.0</v>
      </c>
      <c r="AE113" s="42">
        <v>1.22209209E8</v>
      </c>
      <c r="AF113" s="42">
        <v>9.8989459E7</v>
      </c>
      <c r="AG113" s="77">
        <f t="shared" si="13"/>
        <v>1</v>
      </c>
      <c r="AH113" s="77">
        <f t="shared" si="7"/>
        <v>0.8099999976</v>
      </c>
      <c r="AI113" s="60" t="s">
        <v>579</v>
      </c>
      <c r="AJ113" s="38"/>
      <c r="AK113" s="31"/>
      <c r="AL113" s="38"/>
      <c r="AM113" s="39"/>
      <c r="AN113" s="39"/>
      <c r="AO113" s="39"/>
      <c r="AP113" s="34"/>
      <c r="AQ113" s="39"/>
      <c r="AR113" s="35"/>
      <c r="AS113" s="50"/>
      <c r="AT113" s="50"/>
      <c r="AU113" s="50"/>
    </row>
    <row r="114" ht="78.0" customHeight="1">
      <c r="A114" s="28">
        <v>2025.0</v>
      </c>
      <c r="B114" s="60" t="s">
        <v>574</v>
      </c>
      <c r="C114" s="40" t="s">
        <v>63</v>
      </c>
      <c r="D114" s="60" t="s">
        <v>507</v>
      </c>
      <c r="E114" s="37" t="s">
        <v>580</v>
      </c>
      <c r="F114" s="60" t="s">
        <v>255</v>
      </c>
      <c r="G114" s="60" t="s">
        <v>581</v>
      </c>
      <c r="H114" s="60" t="s">
        <v>109</v>
      </c>
      <c r="I114" s="60" t="s">
        <v>582</v>
      </c>
      <c r="J114" s="60" t="s">
        <v>583</v>
      </c>
      <c r="K114" s="60">
        <v>1.5</v>
      </c>
      <c r="L114" s="73">
        <v>200.0</v>
      </c>
      <c r="M114" s="63">
        <v>0.0</v>
      </c>
      <c r="N114" s="42">
        <v>2.09935716E8</v>
      </c>
      <c r="O114" s="42">
        <v>2.9492981E7</v>
      </c>
      <c r="P114" s="64">
        <f t="shared" si="2"/>
        <v>239428697</v>
      </c>
      <c r="Q114" s="59">
        <v>0.0</v>
      </c>
      <c r="R114" s="59">
        <v>0.0</v>
      </c>
      <c r="S114" s="65">
        <f t="shared" si="3"/>
        <v>239428697</v>
      </c>
      <c r="T114" s="74" t="s">
        <v>53</v>
      </c>
      <c r="U114" s="74" t="s">
        <v>53</v>
      </c>
      <c r="V114" s="75">
        <v>44406.0</v>
      </c>
      <c r="W114" s="76">
        <v>46055.0</v>
      </c>
      <c r="X114" s="76">
        <v>46098.0</v>
      </c>
      <c r="Y114" s="61">
        <v>0.0</v>
      </c>
      <c r="Z114" s="69">
        <v>0.0</v>
      </c>
      <c r="AA114" s="76">
        <v>46098.0</v>
      </c>
      <c r="AB114" s="27">
        <f t="shared" si="4"/>
        <v>-84</v>
      </c>
      <c r="AC114" s="73">
        <v>200.0</v>
      </c>
      <c r="AD114" s="63">
        <v>0.0</v>
      </c>
      <c r="AE114" s="42">
        <v>2.09935716E8</v>
      </c>
      <c r="AF114" s="42">
        <v>1.67948573E8</v>
      </c>
      <c r="AG114" s="77">
        <f t="shared" si="13"/>
        <v>1</v>
      </c>
      <c r="AH114" s="77">
        <f t="shared" si="7"/>
        <v>0.800000001</v>
      </c>
      <c r="AI114" s="60" t="s">
        <v>579</v>
      </c>
      <c r="AJ114" s="38"/>
      <c r="AK114" s="31"/>
      <c r="AL114" s="38"/>
      <c r="AM114" s="39"/>
      <c r="AN114" s="39"/>
      <c r="AO114" s="39"/>
      <c r="AP114" s="34"/>
      <c r="AQ114" s="39"/>
      <c r="AR114" s="39"/>
      <c r="AS114" s="50"/>
      <c r="AT114" s="50"/>
      <c r="AU114" s="50"/>
    </row>
    <row r="115" ht="87.75" customHeight="1">
      <c r="A115" s="28">
        <v>2025.0</v>
      </c>
      <c r="B115" s="60" t="s">
        <v>562</v>
      </c>
      <c r="C115" s="40" t="s">
        <v>63</v>
      </c>
      <c r="D115" s="60" t="s">
        <v>507</v>
      </c>
      <c r="E115" s="37" t="s">
        <v>584</v>
      </c>
      <c r="F115" s="60" t="s">
        <v>369</v>
      </c>
      <c r="G115" s="60" t="s">
        <v>585</v>
      </c>
      <c r="H115" s="60" t="s">
        <v>67</v>
      </c>
      <c r="I115" s="60" t="s">
        <v>586</v>
      </c>
      <c r="J115" s="60" t="s">
        <v>587</v>
      </c>
      <c r="K115" s="60">
        <v>1.5</v>
      </c>
      <c r="L115" s="73">
        <v>200.0</v>
      </c>
      <c r="M115" s="63">
        <v>0.0</v>
      </c>
      <c r="N115" s="42">
        <v>2.2302269E8</v>
      </c>
      <c r="O115" s="42">
        <v>2.4056079E7</v>
      </c>
      <c r="P115" s="64">
        <f t="shared" si="2"/>
        <v>247078769</v>
      </c>
      <c r="Q115" s="59">
        <v>0.0</v>
      </c>
      <c r="R115" s="59">
        <v>0.0</v>
      </c>
      <c r="S115" s="65">
        <f t="shared" si="3"/>
        <v>247078769</v>
      </c>
      <c r="T115" s="74" t="s">
        <v>53</v>
      </c>
      <c r="U115" s="74" t="s">
        <v>53</v>
      </c>
      <c r="V115" s="75">
        <v>44406.0</v>
      </c>
      <c r="W115" s="76">
        <v>46035.0</v>
      </c>
      <c r="X115" s="76">
        <v>46081.0</v>
      </c>
      <c r="Y115" s="61">
        <v>0.0</v>
      </c>
      <c r="Z115" s="69">
        <v>0.0</v>
      </c>
      <c r="AA115" s="76">
        <v>46081.0</v>
      </c>
      <c r="AB115" s="27">
        <f t="shared" si="4"/>
        <v>-101</v>
      </c>
      <c r="AC115" s="73">
        <v>200.0</v>
      </c>
      <c r="AD115" s="63">
        <v>0.0</v>
      </c>
      <c r="AE115" s="42">
        <v>2.2302269E8</v>
      </c>
      <c r="AF115" s="42">
        <v>2.11871555E8</v>
      </c>
      <c r="AG115" s="77">
        <f t="shared" si="13"/>
        <v>1</v>
      </c>
      <c r="AH115" s="77">
        <f t="shared" si="7"/>
        <v>0.9499999978</v>
      </c>
      <c r="AI115" s="60" t="s">
        <v>579</v>
      </c>
      <c r="AJ115" s="38"/>
      <c r="AK115" s="31"/>
      <c r="AL115" s="38"/>
      <c r="AM115" s="39"/>
      <c r="AN115" s="39"/>
      <c r="AO115" s="39"/>
      <c r="AP115" s="55"/>
      <c r="AQ115" s="39"/>
      <c r="AR115" s="39"/>
      <c r="AS115" s="50"/>
      <c r="AT115" s="50"/>
      <c r="AU115" s="50"/>
    </row>
    <row r="116" ht="83.25" customHeight="1">
      <c r="A116" s="28">
        <v>2025.0</v>
      </c>
      <c r="B116" s="60" t="s">
        <v>588</v>
      </c>
      <c r="C116" s="40" t="s">
        <v>63</v>
      </c>
      <c r="D116" s="60" t="s">
        <v>507</v>
      </c>
      <c r="E116" s="37" t="s">
        <v>589</v>
      </c>
      <c r="F116" s="60" t="s">
        <v>590</v>
      </c>
      <c r="G116" s="60" t="s">
        <v>591</v>
      </c>
      <c r="H116" s="60" t="s">
        <v>174</v>
      </c>
      <c r="I116" s="60" t="s">
        <v>592</v>
      </c>
      <c r="J116" s="60" t="s">
        <v>593</v>
      </c>
      <c r="K116" s="60">
        <v>1.5</v>
      </c>
      <c r="L116" s="73">
        <v>200.0</v>
      </c>
      <c r="M116" s="63">
        <v>0.0</v>
      </c>
      <c r="N116" s="42">
        <v>2.30190574E8</v>
      </c>
      <c r="O116" s="42">
        <v>2.6293645E7</v>
      </c>
      <c r="P116" s="64">
        <f t="shared" si="2"/>
        <v>256484219</v>
      </c>
      <c r="Q116" s="59">
        <v>0.0</v>
      </c>
      <c r="R116" s="59">
        <v>0.0</v>
      </c>
      <c r="S116" s="65">
        <f t="shared" si="3"/>
        <v>256484219</v>
      </c>
      <c r="T116" s="74" t="s">
        <v>53</v>
      </c>
      <c r="U116" s="74" t="s">
        <v>53</v>
      </c>
      <c r="V116" s="75">
        <v>44406.0</v>
      </c>
      <c r="W116" s="76">
        <v>46036.0</v>
      </c>
      <c r="X116" s="76">
        <v>46082.0</v>
      </c>
      <c r="Y116" s="61">
        <v>0.0</v>
      </c>
      <c r="Z116" s="69">
        <v>0.0</v>
      </c>
      <c r="AA116" s="76">
        <v>46082.0</v>
      </c>
      <c r="AB116" s="27">
        <f t="shared" si="4"/>
        <v>-100</v>
      </c>
      <c r="AC116" s="73">
        <v>200.0</v>
      </c>
      <c r="AD116" s="63">
        <v>0.0</v>
      </c>
      <c r="AE116" s="42">
        <v>2.30190574E8</v>
      </c>
      <c r="AF116" s="42">
        <v>2.18681045E8</v>
      </c>
      <c r="AG116" s="77">
        <f t="shared" si="13"/>
        <v>1</v>
      </c>
      <c r="AH116" s="77">
        <f t="shared" si="7"/>
        <v>0.9499999987</v>
      </c>
      <c r="AI116" s="60" t="s">
        <v>579</v>
      </c>
      <c r="AJ116" s="38"/>
      <c r="AK116" s="31"/>
      <c r="AL116" s="38"/>
      <c r="AM116" s="39"/>
      <c r="AN116" s="39"/>
      <c r="AO116" s="39"/>
      <c r="AP116" s="34"/>
      <c r="AQ116" s="39"/>
      <c r="AR116" s="35"/>
      <c r="AS116" s="50"/>
      <c r="AT116" s="50"/>
      <c r="AU116" s="50"/>
    </row>
    <row r="117" ht="128.25" customHeight="1">
      <c r="A117" s="28">
        <v>2025.0</v>
      </c>
      <c r="B117" s="60" t="s">
        <v>594</v>
      </c>
      <c r="C117" s="40" t="s">
        <v>63</v>
      </c>
      <c r="D117" s="60" t="s">
        <v>507</v>
      </c>
      <c r="E117" s="37" t="s">
        <v>595</v>
      </c>
      <c r="F117" s="60" t="s">
        <v>223</v>
      </c>
      <c r="G117" s="60" t="s">
        <v>596</v>
      </c>
      <c r="H117" s="60" t="s">
        <v>116</v>
      </c>
      <c r="I117" s="60" t="s">
        <v>597</v>
      </c>
      <c r="J117" s="60" t="s">
        <v>598</v>
      </c>
      <c r="K117" s="60">
        <v>1.5</v>
      </c>
      <c r="L117" s="73">
        <v>100.0</v>
      </c>
      <c r="M117" s="63">
        <v>0.0</v>
      </c>
      <c r="N117" s="42">
        <v>1.2249999E8</v>
      </c>
      <c r="O117" s="42">
        <v>1.4248991E7</v>
      </c>
      <c r="P117" s="64">
        <f t="shared" si="2"/>
        <v>136748981</v>
      </c>
      <c r="Q117" s="59">
        <v>0.0</v>
      </c>
      <c r="R117" s="59">
        <v>0.0</v>
      </c>
      <c r="S117" s="65">
        <f t="shared" si="3"/>
        <v>136748981</v>
      </c>
      <c r="T117" s="74" t="s">
        <v>53</v>
      </c>
      <c r="U117" s="74" t="s">
        <v>53</v>
      </c>
      <c r="V117" s="75">
        <v>44406.0</v>
      </c>
      <c r="W117" s="76">
        <v>46070.0</v>
      </c>
      <c r="X117" s="76">
        <v>46113.0</v>
      </c>
      <c r="Y117" s="61">
        <v>1.0</v>
      </c>
      <c r="Z117" s="61">
        <v>1.0</v>
      </c>
      <c r="AA117" s="76">
        <v>46157.0</v>
      </c>
      <c r="AB117" s="27">
        <f t="shared" si="4"/>
        <v>-25</v>
      </c>
      <c r="AC117" s="73">
        <v>100.0</v>
      </c>
      <c r="AD117" s="63">
        <v>0.0</v>
      </c>
      <c r="AE117" s="42">
        <v>1.2249999E8</v>
      </c>
      <c r="AF117" s="42">
        <v>3.6749997E7</v>
      </c>
      <c r="AG117" s="77">
        <f t="shared" si="13"/>
        <v>1</v>
      </c>
      <c r="AH117" s="77">
        <f t="shared" si="7"/>
        <v>0.3</v>
      </c>
      <c r="AI117" s="60" t="s">
        <v>599</v>
      </c>
      <c r="AJ117" s="38"/>
      <c r="AK117" s="31"/>
      <c r="AL117" s="38"/>
      <c r="AM117" s="39"/>
      <c r="AN117" s="39"/>
      <c r="AO117" s="39"/>
      <c r="AP117" s="34"/>
      <c r="AQ117" s="39"/>
      <c r="AR117" s="35"/>
      <c r="AS117" s="50"/>
      <c r="AT117" s="50"/>
      <c r="AU117" s="50"/>
    </row>
    <row r="118" ht="128.25" customHeight="1">
      <c r="A118" s="28">
        <v>2025.0</v>
      </c>
      <c r="B118" s="60" t="s">
        <v>594</v>
      </c>
      <c r="C118" s="40" t="s">
        <v>63</v>
      </c>
      <c r="D118" s="60" t="s">
        <v>507</v>
      </c>
      <c r="E118" s="37" t="s">
        <v>600</v>
      </c>
      <c r="F118" s="60" t="s">
        <v>223</v>
      </c>
      <c r="G118" s="60" t="s">
        <v>601</v>
      </c>
      <c r="H118" s="60" t="s">
        <v>116</v>
      </c>
      <c r="I118" s="60" t="s">
        <v>602</v>
      </c>
      <c r="J118" s="60" t="s">
        <v>603</v>
      </c>
      <c r="K118" s="60">
        <v>1.5</v>
      </c>
      <c r="L118" s="73">
        <v>100.0</v>
      </c>
      <c r="M118" s="63">
        <v>0.0</v>
      </c>
      <c r="N118" s="42">
        <v>1.2249999E8</v>
      </c>
      <c r="O118" s="42">
        <v>1.4248991E7</v>
      </c>
      <c r="P118" s="64">
        <f t="shared" si="2"/>
        <v>136748981</v>
      </c>
      <c r="Q118" s="59">
        <v>0.0</v>
      </c>
      <c r="R118" s="59">
        <v>0.0</v>
      </c>
      <c r="S118" s="65">
        <f t="shared" si="3"/>
        <v>136748981</v>
      </c>
      <c r="T118" s="78" t="s">
        <v>604</v>
      </c>
      <c r="U118" s="78" t="s">
        <v>70</v>
      </c>
      <c r="V118" s="75">
        <v>44406.0</v>
      </c>
      <c r="W118" s="76">
        <v>46070.0</v>
      </c>
      <c r="X118" s="76">
        <v>46113.0</v>
      </c>
      <c r="Y118" s="61">
        <v>0.0</v>
      </c>
      <c r="Z118" s="61">
        <v>2.0</v>
      </c>
      <c r="AA118" s="76">
        <v>46188.0</v>
      </c>
      <c r="AB118" s="27">
        <f t="shared" si="4"/>
        <v>6</v>
      </c>
      <c r="AC118" s="73">
        <v>25.0</v>
      </c>
      <c r="AD118" s="63">
        <v>0.0</v>
      </c>
      <c r="AE118" s="42">
        <v>1.2249999E8</v>
      </c>
      <c r="AF118" s="42">
        <v>3.6749997E7</v>
      </c>
      <c r="AG118" s="77">
        <f t="shared" si="13"/>
        <v>0.25</v>
      </c>
      <c r="AH118" s="77">
        <f t="shared" si="7"/>
        <v>0.3</v>
      </c>
      <c r="AI118" s="60" t="s">
        <v>605</v>
      </c>
      <c r="AJ118" s="38"/>
      <c r="AK118" s="31"/>
      <c r="AL118" s="38"/>
      <c r="AM118" s="39"/>
      <c r="AN118" s="39"/>
      <c r="AO118" s="39"/>
      <c r="AP118" s="34"/>
      <c r="AQ118" s="39"/>
      <c r="AR118" s="39"/>
      <c r="AS118" s="50"/>
      <c r="AT118" s="50"/>
      <c r="AU118" s="50"/>
    </row>
    <row r="119" ht="128.25" customHeight="1">
      <c r="A119" s="28">
        <v>2025.0</v>
      </c>
      <c r="B119" s="60" t="s">
        <v>221</v>
      </c>
      <c r="C119" s="40" t="s">
        <v>63</v>
      </c>
      <c r="D119" s="60" t="s">
        <v>507</v>
      </c>
      <c r="E119" s="37" t="s">
        <v>606</v>
      </c>
      <c r="F119" s="60" t="s">
        <v>223</v>
      </c>
      <c r="G119" s="60" t="s">
        <v>607</v>
      </c>
      <c r="H119" s="60" t="s">
        <v>116</v>
      </c>
      <c r="I119" s="60" t="s">
        <v>608</v>
      </c>
      <c r="J119" s="60" t="s">
        <v>609</v>
      </c>
      <c r="K119" s="60">
        <v>1.5</v>
      </c>
      <c r="L119" s="73">
        <v>100.0</v>
      </c>
      <c r="M119" s="63">
        <v>0.0</v>
      </c>
      <c r="N119" s="42">
        <v>1.22273255E8</v>
      </c>
      <c r="O119" s="42">
        <v>1.4247562E7</v>
      </c>
      <c r="P119" s="64">
        <f t="shared" si="2"/>
        <v>136520817</v>
      </c>
      <c r="Q119" s="59">
        <v>0.0</v>
      </c>
      <c r="R119" s="59">
        <v>0.0</v>
      </c>
      <c r="S119" s="65">
        <f t="shared" si="3"/>
        <v>136520817</v>
      </c>
      <c r="T119" s="78" t="s">
        <v>53</v>
      </c>
      <c r="U119" s="78" t="s">
        <v>53</v>
      </c>
      <c r="V119" s="75">
        <v>44406.0</v>
      </c>
      <c r="W119" s="76">
        <v>46013.0</v>
      </c>
      <c r="X119" s="76">
        <v>46059.0</v>
      </c>
      <c r="Y119" s="61">
        <v>2.0</v>
      </c>
      <c r="Z119" s="61">
        <v>0.0</v>
      </c>
      <c r="AA119" s="76">
        <v>46107.0</v>
      </c>
      <c r="AB119" s="27">
        <f t="shared" si="4"/>
        <v>-75</v>
      </c>
      <c r="AC119" s="73">
        <v>100.0</v>
      </c>
      <c r="AD119" s="63">
        <v>0.0</v>
      </c>
      <c r="AE119" s="42">
        <v>1.22273255E8</v>
      </c>
      <c r="AF119" s="42">
        <v>1.16159593E8</v>
      </c>
      <c r="AG119" s="77">
        <f t="shared" si="13"/>
        <v>1</v>
      </c>
      <c r="AH119" s="77">
        <f t="shared" si="7"/>
        <v>0.9500000061</v>
      </c>
      <c r="AI119" s="60" t="s">
        <v>610</v>
      </c>
      <c r="AJ119" s="38"/>
      <c r="AK119" s="31"/>
      <c r="AL119" s="38"/>
      <c r="AM119" s="39"/>
      <c r="AN119" s="39"/>
      <c r="AO119" s="39"/>
      <c r="AP119" s="55"/>
      <c r="AQ119" s="39"/>
      <c r="AR119" s="39"/>
      <c r="AS119" s="50"/>
      <c r="AT119" s="50"/>
      <c r="AU119" s="50"/>
    </row>
    <row r="120" ht="128.25" customHeight="1">
      <c r="A120" s="28">
        <v>2025.0</v>
      </c>
      <c r="B120" s="60" t="s">
        <v>193</v>
      </c>
      <c r="C120" s="40" t="s">
        <v>63</v>
      </c>
      <c r="D120" s="60" t="s">
        <v>507</v>
      </c>
      <c r="E120" s="37" t="s">
        <v>611</v>
      </c>
      <c r="F120" s="60" t="s">
        <v>467</v>
      </c>
      <c r="G120" s="60" t="s">
        <v>612</v>
      </c>
      <c r="H120" s="60" t="s">
        <v>109</v>
      </c>
      <c r="I120" s="60" t="s">
        <v>613</v>
      </c>
      <c r="J120" s="60" t="s">
        <v>614</v>
      </c>
      <c r="K120" s="60">
        <v>1.5</v>
      </c>
      <c r="L120" s="73">
        <v>100.0</v>
      </c>
      <c r="M120" s="63">
        <v>0.0</v>
      </c>
      <c r="N120" s="42">
        <v>1.22265243E8</v>
      </c>
      <c r="O120" s="42">
        <v>1.1208998E7</v>
      </c>
      <c r="P120" s="64">
        <f t="shared" si="2"/>
        <v>133474241</v>
      </c>
      <c r="Q120" s="59">
        <v>0.0</v>
      </c>
      <c r="R120" s="59">
        <v>0.0</v>
      </c>
      <c r="S120" s="65">
        <f t="shared" si="3"/>
        <v>133474241</v>
      </c>
      <c r="T120" s="78" t="s">
        <v>53</v>
      </c>
      <c r="U120" s="78" t="s">
        <v>53</v>
      </c>
      <c r="V120" s="75">
        <v>44406.0</v>
      </c>
      <c r="W120" s="76">
        <v>46036.0</v>
      </c>
      <c r="X120" s="76">
        <v>46082.0</v>
      </c>
      <c r="Y120" s="61">
        <v>0.0</v>
      </c>
      <c r="Z120" s="61">
        <v>2.0</v>
      </c>
      <c r="AA120" s="76">
        <v>46101.0</v>
      </c>
      <c r="AB120" s="27">
        <f t="shared" si="4"/>
        <v>-81</v>
      </c>
      <c r="AC120" s="73">
        <v>100.0</v>
      </c>
      <c r="AD120" s="63">
        <v>0.0</v>
      </c>
      <c r="AE120" s="42">
        <v>1.22265243E8</v>
      </c>
      <c r="AF120" s="42">
        <v>1.1615198E8</v>
      </c>
      <c r="AG120" s="77">
        <f t="shared" si="13"/>
        <v>1</v>
      </c>
      <c r="AH120" s="77">
        <f t="shared" si="7"/>
        <v>0.949999993</v>
      </c>
      <c r="AI120" s="60" t="s">
        <v>615</v>
      </c>
      <c r="AJ120" s="38"/>
      <c r="AK120" s="31"/>
      <c r="AL120" s="38"/>
      <c r="AM120" s="39"/>
      <c r="AN120" s="39"/>
      <c r="AO120" s="39"/>
      <c r="AP120" s="34"/>
      <c r="AQ120" s="39"/>
      <c r="AR120" s="35"/>
      <c r="AS120" s="50"/>
      <c r="AT120" s="50"/>
      <c r="AU120" s="50"/>
    </row>
    <row r="121" ht="128.25" customHeight="1">
      <c r="A121" s="28">
        <v>2025.0</v>
      </c>
      <c r="B121" s="60" t="s">
        <v>562</v>
      </c>
      <c r="C121" s="40" t="s">
        <v>63</v>
      </c>
      <c r="D121" s="60" t="s">
        <v>507</v>
      </c>
      <c r="E121" s="37" t="s">
        <v>616</v>
      </c>
      <c r="F121" s="60" t="s">
        <v>168</v>
      </c>
      <c r="G121" s="60" t="s">
        <v>617</v>
      </c>
      <c r="H121" s="60" t="s">
        <v>67</v>
      </c>
      <c r="I121" s="60" t="s">
        <v>618</v>
      </c>
      <c r="J121" s="60" t="s">
        <v>619</v>
      </c>
      <c r="K121" s="60">
        <v>1.5</v>
      </c>
      <c r="L121" s="73">
        <v>100.0</v>
      </c>
      <c r="M121" s="63">
        <v>0.0</v>
      </c>
      <c r="N121" s="42">
        <v>1.21755209E8</v>
      </c>
      <c r="O121" s="42">
        <v>1.4178966E7</v>
      </c>
      <c r="P121" s="64">
        <f t="shared" si="2"/>
        <v>135934175</v>
      </c>
      <c r="Q121" s="59">
        <v>0.0</v>
      </c>
      <c r="R121" s="59">
        <v>0.0</v>
      </c>
      <c r="S121" s="65">
        <f t="shared" si="3"/>
        <v>135934175</v>
      </c>
      <c r="T121" s="78" t="s">
        <v>53</v>
      </c>
      <c r="U121" s="78" t="s">
        <v>53</v>
      </c>
      <c r="V121" s="75">
        <v>44406.0</v>
      </c>
      <c r="W121" s="76">
        <v>46002.0</v>
      </c>
      <c r="X121" s="76">
        <v>46048.0</v>
      </c>
      <c r="Y121" s="61">
        <v>1.0</v>
      </c>
      <c r="Z121" s="61">
        <v>2.0</v>
      </c>
      <c r="AA121" s="76">
        <v>46123.0</v>
      </c>
      <c r="AB121" s="27">
        <f t="shared" si="4"/>
        <v>-59</v>
      </c>
      <c r="AC121" s="73">
        <v>100.0</v>
      </c>
      <c r="AD121" s="63">
        <v>0.0</v>
      </c>
      <c r="AE121" s="42">
        <v>1.21755209E8</v>
      </c>
      <c r="AF121" s="42">
        <v>1.04984081E8</v>
      </c>
      <c r="AG121" s="77">
        <f t="shared" si="13"/>
        <v>1</v>
      </c>
      <c r="AH121" s="77">
        <f t="shared" si="7"/>
        <v>0.8622553553</v>
      </c>
      <c r="AI121" s="60" t="s">
        <v>620</v>
      </c>
      <c r="AJ121" s="38"/>
      <c r="AK121" s="31"/>
      <c r="AL121" s="38"/>
      <c r="AM121" s="39"/>
      <c r="AN121" s="39"/>
      <c r="AO121" s="39"/>
      <c r="AP121" s="34"/>
      <c r="AQ121" s="39"/>
      <c r="AR121" s="35"/>
      <c r="AS121" s="50"/>
      <c r="AT121" s="50"/>
      <c r="AU121" s="50"/>
    </row>
    <row r="122" ht="128.25" customHeight="1">
      <c r="A122" s="28">
        <v>2025.0</v>
      </c>
      <c r="B122" s="60" t="s">
        <v>594</v>
      </c>
      <c r="C122" s="40" t="s">
        <v>63</v>
      </c>
      <c r="D122" s="60" t="s">
        <v>507</v>
      </c>
      <c r="E122" s="37" t="s">
        <v>621</v>
      </c>
      <c r="F122" s="60" t="s">
        <v>239</v>
      </c>
      <c r="G122" s="60" t="s">
        <v>622</v>
      </c>
      <c r="H122" s="60" t="s">
        <v>74</v>
      </c>
      <c r="I122" s="60" t="s">
        <v>623</v>
      </c>
      <c r="J122" s="60" t="s">
        <v>624</v>
      </c>
      <c r="K122" s="60">
        <v>1.5</v>
      </c>
      <c r="L122" s="73">
        <v>100.0</v>
      </c>
      <c r="M122" s="63">
        <v>0.0</v>
      </c>
      <c r="N122" s="42">
        <v>1.01750077E8</v>
      </c>
      <c r="O122" s="42">
        <v>1.3454853E7</v>
      </c>
      <c r="P122" s="64">
        <f t="shared" si="2"/>
        <v>115204930</v>
      </c>
      <c r="Q122" s="59">
        <v>0.0</v>
      </c>
      <c r="R122" s="59">
        <v>0.0</v>
      </c>
      <c r="S122" s="65">
        <f t="shared" si="3"/>
        <v>115204930</v>
      </c>
      <c r="T122" s="78" t="s">
        <v>604</v>
      </c>
      <c r="U122" s="78" t="s">
        <v>53</v>
      </c>
      <c r="V122" s="75">
        <v>44406.0</v>
      </c>
      <c r="W122" s="76">
        <v>46035.0</v>
      </c>
      <c r="X122" s="76">
        <v>46081.0</v>
      </c>
      <c r="Y122" s="61">
        <v>0.0</v>
      </c>
      <c r="Z122" s="61">
        <v>3.0</v>
      </c>
      <c r="AA122" s="76">
        <v>46190.0</v>
      </c>
      <c r="AB122" s="27">
        <f t="shared" si="4"/>
        <v>8</v>
      </c>
      <c r="AC122" s="73">
        <v>50.0</v>
      </c>
      <c r="AD122" s="63">
        <v>0.0</v>
      </c>
      <c r="AE122" s="42">
        <v>1.01750077E8</v>
      </c>
      <c r="AF122" s="42">
        <v>3.0525023E7</v>
      </c>
      <c r="AG122" s="77">
        <f t="shared" si="13"/>
        <v>0.5</v>
      </c>
      <c r="AH122" s="77">
        <f t="shared" si="7"/>
        <v>0.299999999</v>
      </c>
      <c r="AI122" s="60" t="s">
        <v>625</v>
      </c>
      <c r="AJ122" s="38"/>
      <c r="AK122" s="31"/>
      <c r="AL122" s="38"/>
      <c r="AM122" s="39"/>
      <c r="AN122" s="39"/>
      <c r="AO122" s="39"/>
      <c r="AP122" s="34"/>
      <c r="AQ122" s="39"/>
      <c r="AR122" s="39"/>
      <c r="AS122" s="50"/>
      <c r="AT122" s="50"/>
      <c r="AU122" s="50"/>
    </row>
    <row r="123" ht="128.25" customHeight="1">
      <c r="A123" s="28">
        <v>2025.0</v>
      </c>
      <c r="B123" s="60" t="s">
        <v>62</v>
      </c>
      <c r="C123" s="40" t="s">
        <v>63</v>
      </c>
      <c r="D123" s="60" t="s">
        <v>507</v>
      </c>
      <c r="E123" s="37" t="s">
        <v>626</v>
      </c>
      <c r="F123" s="60" t="s">
        <v>263</v>
      </c>
      <c r="G123" s="60" t="s">
        <v>627</v>
      </c>
      <c r="H123" s="60" t="s">
        <v>109</v>
      </c>
      <c r="I123" s="60" t="s">
        <v>628</v>
      </c>
      <c r="J123" s="60" t="s">
        <v>629</v>
      </c>
      <c r="K123" s="60">
        <v>1.5</v>
      </c>
      <c r="L123" s="73">
        <v>100.0</v>
      </c>
      <c r="M123" s="63">
        <v>0.0</v>
      </c>
      <c r="N123" s="42">
        <v>1.22467404E8</v>
      </c>
      <c r="O123" s="42">
        <v>1.7736711E7</v>
      </c>
      <c r="P123" s="64">
        <f t="shared" si="2"/>
        <v>140204115</v>
      </c>
      <c r="Q123" s="59">
        <v>0.0</v>
      </c>
      <c r="R123" s="59">
        <v>0.0</v>
      </c>
      <c r="S123" s="65">
        <f t="shared" si="3"/>
        <v>140204115</v>
      </c>
      <c r="T123" s="78" t="s">
        <v>53</v>
      </c>
      <c r="U123" s="78" t="s">
        <v>53</v>
      </c>
      <c r="V123" s="75">
        <v>44406.0</v>
      </c>
      <c r="W123" s="76">
        <v>46043.0</v>
      </c>
      <c r="X123" s="76">
        <v>46089.0</v>
      </c>
      <c r="Y123" s="61">
        <v>0.0</v>
      </c>
      <c r="Z123" s="61">
        <v>0.0</v>
      </c>
      <c r="AA123" s="76">
        <v>46089.0</v>
      </c>
      <c r="AB123" s="27">
        <f t="shared" si="4"/>
        <v>-93</v>
      </c>
      <c r="AC123" s="73">
        <v>100.0</v>
      </c>
      <c r="AD123" s="63">
        <v>0.0</v>
      </c>
      <c r="AE123" s="42">
        <v>1.22467404E8</v>
      </c>
      <c r="AF123" s="42">
        <v>1.16328547E8</v>
      </c>
      <c r="AG123" s="77">
        <f t="shared" si="13"/>
        <v>1</v>
      </c>
      <c r="AH123" s="77">
        <f t="shared" si="7"/>
        <v>0.9498735435</v>
      </c>
      <c r="AI123" s="60" t="s">
        <v>630</v>
      </c>
      <c r="AJ123" s="38"/>
      <c r="AK123" s="31"/>
      <c r="AL123" s="38"/>
      <c r="AM123" s="39"/>
      <c r="AN123" s="39"/>
      <c r="AO123" s="39"/>
      <c r="AP123" s="55"/>
      <c r="AQ123" s="39"/>
      <c r="AR123" s="39"/>
      <c r="AS123" s="50"/>
      <c r="AT123" s="50"/>
      <c r="AU123" s="50"/>
    </row>
    <row r="124" ht="128.25" customHeight="1">
      <c r="A124" s="28">
        <v>2025.0</v>
      </c>
      <c r="B124" s="60" t="s">
        <v>193</v>
      </c>
      <c r="C124" s="40" t="s">
        <v>63</v>
      </c>
      <c r="D124" s="60" t="s">
        <v>507</v>
      </c>
      <c r="E124" s="37" t="s">
        <v>631</v>
      </c>
      <c r="F124" s="60" t="s">
        <v>200</v>
      </c>
      <c r="G124" s="60" t="s">
        <v>632</v>
      </c>
      <c r="H124" s="60" t="s">
        <v>109</v>
      </c>
      <c r="I124" s="60" t="s">
        <v>633</v>
      </c>
      <c r="J124" s="60" t="s">
        <v>634</v>
      </c>
      <c r="K124" s="60">
        <v>1.5</v>
      </c>
      <c r="L124" s="73">
        <v>100.0</v>
      </c>
      <c r="M124" s="63">
        <v>0.0</v>
      </c>
      <c r="N124" s="42">
        <v>1.17775259E8</v>
      </c>
      <c r="O124" s="42">
        <v>1.2178378E7</v>
      </c>
      <c r="P124" s="64">
        <f t="shared" si="2"/>
        <v>129953637</v>
      </c>
      <c r="Q124" s="59">
        <v>0.0</v>
      </c>
      <c r="R124" s="59">
        <v>0.0</v>
      </c>
      <c r="S124" s="65">
        <f t="shared" si="3"/>
        <v>129953637</v>
      </c>
      <c r="T124" s="78" t="s">
        <v>53</v>
      </c>
      <c r="U124" s="78" t="s">
        <v>53</v>
      </c>
      <c r="V124" s="75">
        <v>44406.0</v>
      </c>
      <c r="W124" s="76">
        <v>46056.0</v>
      </c>
      <c r="X124" s="76">
        <v>46099.0</v>
      </c>
      <c r="Y124" s="61">
        <v>0.0</v>
      </c>
      <c r="Z124" s="61">
        <v>0.0</v>
      </c>
      <c r="AA124" s="76">
        <v>46099.0</v>
      </c>
      <c r="AB124" s="27">
        <f t="shared" si="4"/>
        <v>-83</v>
      </c>
      <c r="AC124" s="73">
        <v>100.0</v>
      </c>
      <c r="AD124" s="63">
        <v>0.0</v>
      </c>
      <c r="AE124" s="42">
        <v>1.17775259E8</v>
      </c>
      <c r="AF124" s="42">
        <v>1.11886496E8</v>
      </c>
      <c r="AG124" s="77">
        <f t="shared" si="13"/>
        <v>1</v>
      </c>
      <c r="AH124" s="77">
        <f t="shared" si="7"/>
        <v>0.9499999996</v>
      </c>
      <c r="AI124" s="60" t="s">
        <v>635</v>
      </c>
      <c r="AJ124" s="38"/>
      <c r="AK124" s="31"/>
      <c r="AL124" s="38"/>
      <c r="AM124" s="39"/>
      <c r="AN124" s="39"/>
      <c r="AO124" s="39"/>
      <c r="AP124" s="34"/>
      <c r="AQ124" s="39"/>
      <c r="AR124" s="35"/>
      <c r="AS124" s="50"/>
      <c r="AT124" s="50"/>
      <c r="AU124" s="50"/>
    </row>
    <row r="125" ht="128.25" customHeight="1">
      <c r="A125" s="28">
        <v>2025.0</v>
      </c>
      <c r="B125" s="60" t="s">
        <v>193</v>
      </c>
      <c r="C125" s="40" t="s">
        <v>63</v>
      </c>
      <c r="D125" s="60" t="s">
        <v>507</v>
      </c>
      <c r="E125" s="37" t="s">
        <v>636</v>
      </c>
      <c r="F125" s="60" t="s">
        <v>200</v>
      </c>
      <c r="G125" s="60" t="s">
        <v>637</v>
      </c>
      <c r="H125" s="60" t="s">
        <v>109</v>
      </c>
      <c r="I125" s="60" t="s">
        <v>638</v>
      </c>
      <c r="J125" s="60" t="s">
        <v>639</v>
      </c>
      <c r="K125" s="60">
        <v>1.5</v>
      </c>
      <c r="L125" s="73">
        <v>100.0</v>
      </c>
      <c r="M125" s="63">
        <v>0.0</v>
      </c>
      <c r="N125" s="42">
        <v>1.11992339E8</v>
      </c>
      <c r="O125" s="42">
        <v>1.9149179E7</v>
      </c>
      <c r="P125" s="64">
        <f t="shared" si="2"/>
        <v>131141518</v>
      </c>
      <c r="Q125" s="59">
        <v>0.0</v>
      </c>
      <c r="R125" s="59">
        <v>0.0</v>
      </c>
      <c r="S125" s="65">
        <f t="shared" si="3"/>
        <v>131141518</v>
      </c>
      <c r="T125" s="78" t="s">
        <v>53</v>
      </c>
      <c r="U125" s="78" t="s">
        <v>53</v>
      </c>
      <c r="V125" s="75">
        <v>44406.0</v>
      </c>
      <c r="W125" s="76">
        <v>46049.0</v>
      </c>
      <c r="X125" s="76">
        <v>46095.0</v>
      </c>
      <c r="Y125" s="61">
        <v>1.0</v>
      </c>
      <c r="Z125" s="61">
        <v>1.0</v>
      </c>
      <c r="AA125" s="76">
        <v>46156.0</v>
      </c>
      <c r="AB125" s="27">
        <f t="shared" si="4"/>
        <v>-26</v>
      </c>
      <c r="AC125" s="73">
        <v>60.0</v>
      </c>
      <c r="AD125" s="63">
        <v>0.0</v>
      </c>
      <c r="AE125" s="42">
        <v>1.11992339E8</v>
      </c>
      <c r="AF125" s="42">
        <v>3.3597702E7</v>
      </c>
      <c r="AG125" s="77">
        <f t="shared" si="13"/>
        <v>0.6</v>
      </c>
      <c r="AH125" s="77">
        <f t="shared" si="7"/>
        <v>0.3000000027</v>
      </c>
      <c r="AI125" s="60" t="s">
        <v>640</v>
      </c>
      <c r="AJ125" s="38"/>
      <c r="AK125" s="31"/>
      <c r="AL125" s="38"/>
      <c r="AM125" s="39"/>
      <c r="AN125" s="39"/>
      <c r="AO125" s="39"/>
      <c r="AP125" s="34"/>
      <c r="AQ125" s="39"/>
      <c r="AR125" s="35"/>
      <c r="AS125" s="50"/>
      <c r="AT125" s="50"/>
      <c r="AU125" s="50"/>
    </row>
    <row r="126" ht="128.25" customHeight="1">
      <c r="A126" s="28">
        <v>2025.0</v>
      </c>
      <c r="B126" s="60" t="s">
        <v>62</v>
      </c>
      <c r="C126" s="40" t="s">
        <v>63</v>
      </c>
      <c r="D126" s="60" t="s">
        <v>507</v>
      </c>
      <c r="E126" s="37" t="s">
        <v>641</v>
      </c>
      <c r="F126" s="60" t="s">
        <v>642</v>
      </c>
      <c r="G126" s="60" t="s">
        <v>643</v>
      </c>
      <c r="H126" s="60" t="s">
        <v>109</v>
      </c>
      <c r="I126" s="60" t="s">
        <v>644</v>
      </c>
      <c r="J126" s="60" t="s">
        <v>645</v>
      </c>
      <c r="K126" s="60">
        <v>1.5</v>
      </c>
      <c r="L126" s="73">
        <v>100.0</v>
      </c>
      <c r="M126" s="63">
        <v>0.0</v>
      </c>
      <c r="N126" s="42">
        <v>1.22499134E8</v>
      </c>
      <c r="O126" s="42">
        <v>1.232523E7</v>
      </c>
      <c r="P126" s="64">
        <f t="shared" si="2"/>
        <v>134824364</v>
      </c>
      <c r="Q126" s="59">
        <v>0.0</v>
      </c>
      <c r="R126" s="59">
        <v>0.0</v>
      </c>
      <c r="S126" s="65">
        <f t="shared" si="3"/>
        <v>134824364</v>
      </c>
      <c r="T126" s="78" t="s">
        <v>53</v>
      </c>
      <c r="U126" s="78" t="s">
        <v>53</v>
      </c>
      <c r="V126" s="75">
        <v>44406.0</v>
      </c>
      <c r="W126" s="76">
        <v>46043.0</v>
      </c>
      <c r="X126" s="76">
        <v>46089.0</v>
      </c>
      <c r="Y126" s="61">
        <v>0.0</v>
      </c>
      <c r="Z126" s="61">
        <v>0.0</v>
      </c>
      <c r="AA126" s="76">
        <v>46089.0</v>
      </c>
      <c r="AB126" s="27">
        <f t="shared" si="4"/>
        <v>-93</v>
      </c>
      <c r="AC126" s="73">
        <v>100.0</v>
      </c>
      <c r="AD126" s="63">
        <v>0.0</v>
      </c>
      <c r="AE126" s="42">
        <v>1.22499134E8</v>
      </c>
      <c r="AF126" s="42">
        <v>3.674974E7</v>
      </c>
      <c r="AG126" s="77">
        <f t="shared" si="13"/>
        <v>1</v>
      </c>
      <c r="AH126" s="77">
        <f t="shared" si="7"/>
        <v>0.2999999984</v>
      </c>
      <c r="AI126" s="60" t="s">
        <v>646</v>
      </c>
      <c r="AJ126" s="38"/>
      <c r="AK126" s="31"/>
      <c r="AL126" s="38"/>
      <c r="AM126" s="39"/>
      <c r="AN126" s="39"/>
      <c r="AO126" s="39"/>
      <c r="AP126" s="34"/>
      <c r="AQ126" s="39"/>
      <c r="AR126" s="39"/>
      <c r="AS126" s="50"/>
      <c r="AT126" s="50"/>
      <c r="AU126" s="50"/>
    </row>
    <row r="127" ht="128.25" customHeight="1">
      <c r="A127" s="28">
        <v>2025.0</v>
      </c>
      <c r="B127" s="60" t="s">
        <v>113</v>
      </c>
      <c r="C127" s="40" t="s">
        <v>63</v>
      </c>
      <c r="D127" s="60" t="s">
        <v>507</v>
      </c>
      <c r="E127" s="37" t="s">
        <v>647</v>
      </c>
      <c r="F127" s="60" t="s">
        <v>120</v>
      </c>
      <c r="G127" s="60" t="s">
        <v>648</v>
      </c>
      <c r="H127" s="60" t="s">
        <v>116</v>
      </c>
      <c r="I127" s="60" t="s">
        <v>649</v>
      </c>
      <c r="J127" s="60" t="s">
        <v>650</v>
      </c>
      <c r="K127" s="60">
        <v>1.5</v>
      </c>
      <c r="L127" s="73">
        <v>100.0</v>
      </c>
      <c r="M127" s="63">
        <v>0.0</v>
      </c>
      <c r="N127" s="42">
        <v>1.22305437E8</v>
      </c>
      <c r="O127" s="42">
        <v>7442745.0</v>
      </c>
      <c r="P127" s="64">
        <f t="shared" si="2"/>
        <v>129748182</v>
      </c>
      <c r="Q127" s="59">
        <v>0.0</v>
      </c>
      <c r="R127" s="59">
        <v>0.0</v>
      </c>
      <c r="S127" s="65">
        <f t="shared" si="3"/>
        <v>129748182</v>
      </c>
      <c r="T127" s="78" t="s">
        <v>53</v>
      </c>
      <c r="U127" s="78" t="s">
        <v>53</v>
      </c>
      <c r="V127" s="75">
        <v>44406.0</v>
      </c>
      <c r="W127" s="76">
        <v>46043.0</v>
      </c>
      <c r="X127" s="76">
        <v>46089.0</v>
      </c>
      <c r="Y127" s="61">
        <v>0.0</v>
      </c>
      <c r="Z127" s="61">
        <v>0.0</v>
      </c>
      <c r="AA127" s="76">
        <v>46089.0</v>
      </c>
      <c r="AB127" s="27">
        <f t="shared" si="4"/>
        <v>-93</v>
      </c>
      <c r="AC127" s="73">
        <v>100.0</v>
      </c>
      <c r="AD127" s="63">
        <v>0.0</v>
      </c>
      <c r="AE127" s="42">
        <v>1.22305437E8</v>
      </c>
      <c r="AF127" s="42">
        <v>1.00290458E8</v>
      </c>
      <c r="AG127" s="77">
        <f t="shared" si="13"/>
        <v>1</v>
      </c>
      <c r="AH127" s="77">
        <f t="shared" si="7"/>
        <v>0.8199999972</v>
      </c>
      <c r="AI127" s="60" t="s">
        <v>651</v>
      </c>
      <c r="AJ127" s="38"/>
      <c r="AK127" s="31"/>
      <c r="AL127" s="38"/>
      <c r="AM127" s="39"/>
      <c r="AN127" s="39"/>
      <c r="AO127" s="39"/>
      <c r="AP127" s="55"/>
      <c r="AQ127" s="39"/>
      <c r="AR127" s="39"/>
      <c r="AS127" s="50"/>
      <c r="AT127" s="50"/>
      <c r="AU127" s="50"/>
    </row>
    <row r="128" ht="104.25" customHeight="1">
      <c r="A128" s="28">
        <v>2025.0</v>
      </c>
      <c r="B128" s="60" t="s">
        <v>652</v>
      </c>
      <c r="C128" s="40" t="s">
        <v>63</v>
      </c>
      <c r="D128" s="60" t="s">
        <v>507</v>
      </c>
      <c r="E128" s="37" t="s">
        <v>653</v>
      </c>
      <c r="F128" s="60" t="s">
        <v>272</v>
      </c>
      <c r="G128" s="60" t="s">
        <v>654</v>
      </c>
      <c r="H128" s="60" t="s">
        <v>109</v>
      </c>
      <c r="I128" s="60" t="s">
        <v>655</v>
      </c>
      <c r="J128" s="60" t="s">
        <v>656</v>
      </c>
      <c r="K128" s="60">
        <v>1.5</v>
      </c>
      <c r="L128" s="73">
        <v>100.0</v>
      </c>
      <c r="M128" s="63">
        <v>0.0</v>
      </c>
      <c r="N128" s="42">
        <v>1.22220109E8</v>
      </c>
      <c r="O128" s="42">
        <v>1.3285932E7</v>
      </c>
      <c r="P128" s="64">
        <f t="shared" si="2"/>
        <v>135506041</v>
      </c>
      <c r="Q128" s="59">
        <v>0.0</v>
      </c>
      <c r="R128" s="59">
        <v>0.0</v>
      </c>
      <c r="S128" s="65">
        <f t="shared" si="3"/>
        <v>135506041</v>
      </c>
      <c r="T128" s="78" t="s">
        <v>53</v>
      </c>
      <c r="U128" s="78" t="s">
        <v>53</v>
      </c>
      <c r="V128" s="75">
        <v>44406.0</v>
      </c>
      <c r="W128" s="76">
        <v>46027.0</v>
      </c>
      <c r="X128" s="76">
        <v>46073.0</v>
      </c>
      <c r="Y128" s="61">
        <v>0.0</v>
      </c>
      <c r="Z128" s="61">
        <v>0.0</v>
      </c>
      <c r="AA128" s="76">
        <v>46073.0</v>
      </c>
      <c r="AB128" s="27">
        <f t="shared" si="4"/>
        <v>-109</v>
      </c>
      <c r="AC128" s="73">
        <v>100.0</v>
      </c>
      <c r="AD128" s="63">
        <v>0.0</v>
      </c>
      <c r="AE128" s="42">
        <f t="shared" ref="AE128:AE148" si="16">N128</f>
        <v>122220109</v>
      </c>
      <c r="AF128" s="42">
        <v>1.16109104E8</v>
      </c>
      <c r="AG128" s="77">
        <f t="shared" si="13"/>
        <v>1</v>
      </c>
      <c r="AH128" s="77">
        <f t="shared" si="7"/>
        <v>0.9500000037</v>
      </c>
      <c r="AI128" s="60" t="s">
        <v>657</v>
      </c>
      <c r="AJ128" s="38"/>
      <c r="AK128" s="31"/>
      <c r="AL128" s="38"/>
      <c r="AM128" s="39"/>
      <c r="AN128" s="39"/>
      <c r="AO128" s="39"/>
      <c r="AP128" s="34"/>
      <c r="AQ128" s="39"/>
      <c r="AR128" s="35"/>
      <c r="AS128" s="50"/>
      <c r="AT128" s="50"/>
      <c r="AU128" s="50"/>
    </row>
    <row r="129" ht="104.25" customHeight="1">
      <c r="A129" s="82">
        <v>2025.0</v>
      </c>
      <c r="B129" s="83" t="s">
        <v>193</v>
      </c>
      <c r="C129" s="84" t="s">
        <v>63</v>
      </c>
      <c r="D129" s="83" t="s">
        <v>507</v>
      </c>
      <c r="E129" s="85" t="s">
        <v>658</v>
      </c>
      <c r="F129" s="83" t="s">
        <v>204</v>
      </c>
      <c r="G129" s="83" t="s">
        <v>659</v>
      </c>
      <c r="H129" s="60" t="s">
        <v>109</v>
      </c>
      <c r="I129" s="60" t="s">
        <v>660</v>
      </c>
      <c r="J129" s="60" t="s">
        <v>661</v>
      </c>
      <c r="K129" s="60">
        <v>1.5</v>
      </c>
      <c r="L129" s="73">
        <v>200.0</v>
      </c>
      <c r="M129" s="63">
        <v>0.0</v>
      </c>
      <c r="N129" s="42">
        <v>2.32558046E8</v>
      </c>
      <c r="O129" s="42">
        <v>2.4254705E7</v>
      </c>
      <c r="P129" s="64">
        <f t="shared" si="2"/>
        <v>256812751</v>
      </c>
      <c r="Q129" s="59">
        <v>0.0</v>
      </c>
      <c r="R129" s="59">
        <v>0.0</v>
      </c>
      <c r="S129" s="65">
        <f t="shared" si="3"/>
        <v>256812751</v>
      </c>
      <c r="T129" s="78" t="s">
        <v>53</v>
      </c>
      <c r="U129" s="78" t="s">
        <v>53</v>
      </c>
      <c r="V129" s="75">
        <v>44406.0</v>
      </c>
      <c r="W129" s="76">
        <v>46044.0</v>
      </c>
      <c r="X129" s="76">
        <v>46090.0</v>
      </c>
      <c r="Y129" s="61">
        <v>0.0</v>
      </c>
      <c r="Z129" s="61">
        <v>0.0</v>
      </c>
      <c r="AA129" s="76">
        <v>46090.0</v>
      </c>
      <c r="AB129" s="27">
        <f t="shared" si="4"/>
        <v>-92</v>
      </c>
      <c r="AC129" s="73">
        <v>200.0</v>
      </c>
      <c r="AD129" s="63">
        <v>0.0</v>
      </c>
      <c r="AE129" s="42">
        <f t="shared" si="16"/>
        <v>232558046</v>
      </c>
      <c r="AF129" s="42">
        <v>6.9767411E7</v>
      </c>
      <c r="AG129" s="77">
        <f t="shared" si="13"/>
        <v>1</v>
      </c>
      <c r="AH129" s="77">
        <f t="shared" si="7"/>
        <v>0.299999988</v>
      </c>
      <c r="AI129" s="60" t="s">
        <v>662</v>
      </c>
      <c r="AJ129" s="38"/>
      <c r="AK129" s="31"/>
      <c r="AL129" s="38"/>
      <c r="AM129" s="39"/>
      <c r="AN129" s="39"/>
      <c r="AO129" s="39"/>
      <c r="AP129" s="34"/>
      <c r="AQ129" s="39"/>
      <c r="AR129" s="35"/>
      <c r="AS129" s="50"/>
      <c r="AT129" s="50"/>
      <c r="AU129" s="50"/>
    </row>
    <row r="130" ht="104.25" customHeight="1">
      <c r="A130" s="28">
        <v>2025.0</v>
      </c>
      <c r="B130" s="60" t="s">
        <v>193</v>
      </c>
      <c r="C130" s="40" t="s">
        <v>63</v>
      </c>
      <c r="D130" s="60" t="s">
        <v>507</v>
      </c>
      <c r="E130" s="37" t="s">
        <v>663</v>
      </c>
      <c r="F130" s="60" t="s">
        <v>277</v>
      </c>
      <c r="G130" s="60" t="s">
        <v>664</v>
      </c>
      <c r="H130" s="60" t="s">
        <v>109</v>
      </c>
      <c r="I130" s="60" t="s">
        <v>665</v>
      </c>
      <c r="J130" s="60" t="s">
        <v>666</v>
      </c>
      <c r="K130" s="60">
        <v>1.5</v>
      </c>
      <c r="L130" s="73">
        <v>100.0</v>
      </c>
      <c r="M130" s="63">
        <v>0.0</v>
      </c>
      <c r="N130" s="42">
        <v>1.2107678E8</v>
      </c>
      <c r="O130" s="42">
        <v>1.7861208E7</v>
      </c>
      <c r="P130" s="64">
        <f t="shared" si="2"/>
        <v>138937988</v>
      </c>
      <c r="Q130" s="59">
        <v>0.0</v>
      </c>
      <c r="R130" s="59">
        <v>0.0</v>
      </c>
      <c r="S130" s="65">
        <f t="shared" si="3"/>
        <v>138937988</v>
      </c>
      <c r="T130" s="78" t="s">
        <v>53</v>
      </c>
      <c r="U130" s="78" t="s">
        <v>53</v>
      </c>
      <c r="V130" s="75">
        <v>44406.0</v>
      </c>
      <c r="W130" s="76">
        <v>46027.0</v>
      </c>
      <c r="X130" s="76">
        <v>46073.0</v>
      </c>
      <c r="Y130" s="61">
        <v>0.0</v>
      </c>
      <c r="Z130" s="61">
        <v>1.0</v>
      </c>
      <c r="AA130" s="76">
        <v>46093.0</v>
      </c>
      <c r="AB130" s="27">
        <f t="shared" si="4"/>
        <v>-89</v>
      </c>
      <c r="AC130" s="73">
        <v>100.0</v>
      </c>
      <c r="AD130" s="63">
        <v>0.0</v>
      </c>
      <c r="AE130" s="42">
        <f t="shared" si="16"/>
        <v>121076780</v>
      </c>
      <c r="AF130" s="42">
        <v>1.15022941E8</v>
      </c>
      <c r="AG130" s="77">
        <f t="shared" si="13"/>
        <v>1</v>
      </c>
      <c r="AH130" s="77">
        <f t="shared" si="7"/>
        <v>0.95</v>
      </c>
      <c r="AI130" s="60" t="s">
        <v>667</v>
      </c>
      <c r="AJ130" s="38"/>
      <c r="AK130" s="31"/>
      <c r="AL130" s="38"/>
      <c r="AM130" s="39"/>
      <c r="AN130" s="39"/>
      <c r="AO130" s="39"/>
      <c r="AP130" s="34"/>
      <c r="AQ130" s="39"/>
      <c r="AR130" s="39"/>
      <c r="AS130" s="50"/>
      <c r="AT130" s="50"/>
      <c r="AU130" s="50"/>
    </row>
    <row r="131" ht="104.25" customHeight="1">
      <c r="A131" s="28">
        <v>2025.0</v>
      </c>
      <c r="B131" s="60" t="s">
        <v>193</v>
      </c>
      <c r="C131" s="40" t="s">
        <v>63</v>
      </c>
      <c r="D131" s="60" t="s">
        <v>507</v>
      </c>
      <c r="E131" s="37" t="s">
        <v>668</v>
      </c>
      <c r="F131" s="60" t="s">
        <v>277</v>
      </c>
      <c r="G131" s="60" t="s">
        <v>669</v>
      </c>
      <c r="H131" s="60" t="s">
        <v>109</v>
      </c>
      <c r="I131" s="60" t="s">
        <v>670</v>
      </c>
      <c r="J131" s="60" t="s">
        <v>671</v>
      </c>
      <c r="K131" s="60">
        <v>1.5</v>
      </c>
      <c r="L131" s="73">
        <v>100.0</v>
      </c>
      <c r="M131" s="63">
        <v>0.0</v>
      </c>
      <c r="N131" s="42">
        <v>1.22309501E8</v>
      </c>
      <c r="O131" s="42">
        <v>1.3659984E7</v>
      </c>
      <c r="P131" s="64">
        <f t="shared" si="2"/>
        <v>135969485</v>
      </c>
      <c r="Q131" s="59">
        <v>0.0</v>
      </c>
      <c r="R131" s="59">
        <v>0.0</v>
      </c>
      <c r="S131" s="65">
        <f t="shared" si="3"/>
        <v>135969485</v>
      </c>
      <c r="T131" s="78" t="s">
        <v>53</v>
      </c>
      <c r="U131" s="78" t="s">
        <v>53</v>
      </c>
      <c r="V131" s="75">
        <v>44406.0</v>
      </c>
      <c r="W131" s="76">
        <v>46027.0</v>
      </c>
      <c r="X131" s="76">
        <v>46073.0</v>
      </c>
      <c r="Y131" s="61">
        <v>0.0</v>
      </c>
      <c r="Z131" s="61">
        <v>1.0</v>
      </c>
      <c r="AA131" s="76">
        <v>46093.0</v>
      </c>
      <c r="AB131" s="27">
        <f t="shared" si="4"/>
        <v>-89</v>
      </c>
      <c r="AC131" s="73">
        <v>100.0</v>
      </c>
      <c r="AD131" s="63">
        <v>0.0</v>
      </c>
      <c r="AE131" s="42">
        <f t="shared" si="16"/>
        <v>122309501</v>
      </c>
      <c r="AF131" s="42">
        <v>1.16194026E8</v>
      </c>
      <c r="AG131" s="77">
        <f t="shared" si="13"/>
        <v>1</v>
      </c>
      <c r="AH131" s="77">
        <f t="shared" si="7"/>
        <v>0.9500000004</v>
      </c>
      <c r="AI131" s="60" t="s">
        <v>667</v>
      </c>
      <c r="AJ131" s="38"/>
      <c r="AK131" s="31"/>
      <c r="AL131" s="38"/>
      <c r="AM131" s="39"/>
      <c r="AN131" s="39"/>
      <c r="AO131" s="39"/>
      <c r="AP131" s="55"/>
      <c r="AQ131" s="39"/>
      <c r="AR131" s="39"/>
      <c r="AS131" s="50"/>
      <c r="AT131" s="50"/>
      <c r="AU131" s="50"/>
    </row>
    <row r="132" ht="104.25" customHeight="1">
      <c r="A132" s="28">
        <v>2025.0</v>
      </c>
      <c r="B132" s="60" t="s">
        <v>62</v>
      </c>
      <c r="C132" s="40" t="s">
        <v>63</v>
      </c>
      <c r="D132" s="60" t="s">
        <v>507</v>
      </c>
      <c r="E132" s="37" t="s">
        <v>672</v>
      </c>
      <c r="F132" s="60" t="s">
        <v>287</v>
      </c>
      <c r="G132" s="60" t="s">
        <v>673</v>
      </c>
      <c r="H132" s="60" t="s">
        <v>109</v>
      </c>
      <c r="I132" s="60" t="s">
        <v>674</v>
      </c>
      <c r="J132" s="60" t="s">
        <v>675</v>
      </c>
      <c r="K132" s="60">
        <v>1.5</v>
      </c>
      <c r="L132" s="73">
        <v>100.0</v>
      </c>
      <c r="M132" s="63">
        <v>0.0</v>
      </c>
      <c r="N132" s="42">
        <v>1.21406362E8</v>
      </c>
      <c r="O132" s="42">
        <v>1.1436244E7</v>
      </c>
      <c r="P132" s="64">
        <f t="shared" si="2"/>
        <v>132842606</v>
      </c>
      <c r="Q132" s="59">
        <v>0.0</v>
      </c>
      <c r="R132" s="59">
        <v>0.0</v>
      </c>
      <c r="S132" s="65">
        <f t="shared" si="3"/>
        <v>132842606</v>
      </c>
      <c r="T132" s="78" t="s">
        <v>53</v>
      </c>
      <c r="U132" s="78" t="s">
        <v>53</v>
      </c>
      <c r="V132" s="75">
        <v>44406.0</v>
      </c>
      <c r="W132" s="76">
        <v>46001.0</v>
      </c>
      <c r="X132" s="76">
        <v>46047.0</v>
      </c>
      <c r="Y132" s="61">
        <v>0.0</v>
      </c>
      <c r="Z132" s="61">
        <v>0.0</v>
      </c>
      <c r="AA132" s="76">
        <v>46047.0</v>
      </c>
      <c r="AB132" s="27">
        <f t="shared" si="4"/>
        <v>-135</v>
      </c>
      <c r="AC132" s="73">
        <v>100.0</v>
      </c>
      <c r="AD132" s="63">
        <v>0.0</v>
      </c>
      <c r="AE132" s="42">
        <f t="shared" si="16"/>
        <v>121406362</v>
      </c>
      <c r="AF132" s="42">
        <v>1.15336044E8</v>
      </c>
      <c r="AG132" s="77">
        <f t="shared" si="13"/>
        <v>1</v>
      </c>
      <c r="AH132" s="77">
        <f t="shared" si="7"/>
        <v>0.9500000008</v>
      </c>
      <c r="AI132" s="60" t="s">
        <v>676</v>
      </c>
      <c r="AJ132" s="38"/>
      <c r="AK132" s="31"/>
      <c r="AL132" s="38"/>
      <c r="AM132" s="39"/>
      <c r="AN132" s="39"/>
      <c r="AO132" s="39"/>
      <c r="AP132" s="34"/>
      <c r="AQ132" s="39"/>
      <c r="AR132" s="35"/>
      <c r="AS132" s="50"/>
      <c r="AT132" s="50"/>
      <c r="AU132" s="50"/>
    </row>
    <row r="133" ht="104.25" customHeight="1">
      <c r="A133" s="28">
        <v>2025.0</v>
      </c>
      <c r="B133" s="60" t="s">
        <v>78</v>
      </c>
      <c r="C133" s="40" t="s">
        <v>63</v>
      </c>
      <c r="D133" s="60" t="s">
        <v>507</v>
      </c>
      <c r="E133" s="37" t="s">
        <v>677</v>
      </c>
      <c r="F133" s="60" t="s">
        <v>297</v>
      </c>
      <c r="G133" s="60" t="s">
        <v>678</v>
      </c>
      <c r="H133" s="60" t="s">
        <v>109</v>
      </c>
      <c r="I133" s="60" t="s">
        <v>679</v>
      </c>
      <c r="J133" s="60" t="s">
        <v>680</v>
      </c>
      <c r="K133" s="60">
        <v>1.5</v>
      </c>
      <c r="L133" s="73">
        <v>100.0</v>
      </c>
      <c r="M133" s="63">
        <v>0.0</v>
      </c>
      <c r="N133" s="42">
        <v>1.14185129E8</v>
      </c>
      <c r="O133" s="42">
        <v>1.4839507E7</v>
      </c>
      <c r="P133" s="64">
        <f t="shared" si="2"/>
        <v>129024636</v>
      </c>
      <c r="Q133" s="59">
        <v>0.0</v>
      </c>
      <c r="R133" s="59">
        <v>0.0</v>
      </c>
      <c r="S133" s="65">
        <f t="shared" si="3"/>
        <v>129024636</v>
      </c>
      <c r="T133" s="78" t="s">
        <v>53</v>
      </c>
      <c r="U133" s="78" t="s">
        <v>53</v>
      </c>
      <c r="V133" s="75">
        <v>44406.0</v>
      </c>
      <c r="W133" s="76">
        <v>46002.0</v>
      </c>
      <c r="X133" s="76">
        <v>46048.0</v>
      </c>
      <c r="Y133" s="61">
        <v>0.0</v>
      </c>
      <c r="Z133" s="61">
        <v>0.0</v>
      </c>
      <c r="AA133" s="76">
        <v>46048.0</v>
      </c>
      <c r="AB133" s="27">
        <f t="shared" si="4"/>
        <v>-134</v>
      </c>
      <c r="AC133" s="73">
        <v>100.0</v>
      </c>
      <c r="AD133" s="63">
        <v>0.0</v>
      </c>
      <c r="AE133" s="42">
        <f t="shared" si="16"/>
        <v>114185129</v>
      </c>
      <c r="AF133" s="42">
        <v>1.08475873E8</v>
      </c>
      <c r="AG133" s="77">
        <f t="shared" si="13"/>
        <v>1</v>
      </c>
      <c r="AH133" s="77">
        <f t="shared" si="7"/>
        <v>0.9500000039</v>
      </c>
      <c r="AI133" s="60" t="s">
        <v>681</v>
      </c>
      <c r="AJ133" s="38"/>
      <c r="AK133" s="31"/>
      <c r="AL133" s="38"/>
      <c r="AM133" s="39"/>
      <c r="AN133" s="39"/>
      <c r="AO133" s="39"/>
      <c r="AP133" s="34"/>
      <c r="AQ133" s="39"/>
      <c r="AR133" s="35"/>
      <c r="AS133" s="50"/>
      <c r="AT133" s="50"/>
      <c r="AU133" s="50"/>
    </row>
    <row r="134" ht="104.25" customHeight="1">
      <c r="A134" s="28">
        <v>2025.0</v>
      </c>
      <c r="B134" s="60" t="s">
        <v>309</v>
      </c>
      <c r="C134" s="40" t="s">
        <v>63</v>
      </c>
      <c r="D134" s="60" t="s">
        <v>507</v>
      </c>
      <c r="E134" s="37" t="s">
        <v>682</v>
      </c>
      <c r="F134" s="60" t="s">
        <v>683</v>
      </c>
      <c r="G134" s="60" t="s">
        <v>684</v>
      </c>
      <c r="H134" s="60" t="s">
        <v>93</v>
      </c>
      <c r="I134" s="60" t="s">
        <v>685</v>
      </c>
      <c r="J134" s="60" t="s">
        <v>680</v>
      </c>
      <c r="K134" s="60">
        <v>1.5</v>
      </c>
      <c r="L134" s="73">
        <v>100.0</v>
      </c>
      <c r="M134" s="63">
        <v>0.0</v>
      </c>
      <c r="N134" s="42">
        <v>1.01508608E8</v>
      </c>
      <c r="O134" s="42">
        <v>8902787.0</v>
      </c>
      <c r="P134" s="64">
        <f t="shared" si="2"/>
        <v>110411395</v>
      </c>
      <c r="Q134" s="59">
        <v>0.0</v>
      </c>
      <c r="R134" s="59">
        <v>0.0</v>
      </c>
      <c r="S134" s="65">
        <f t="shared" si="3"/>
        <v>110411395</v>
      </c>
      <c r="T134" s="78" t="s">
        <v>53</v>
      </c>
      <c r="U134" s="78" t="s">
        <v>53</v>
      </c>
      <c r="V134" s="75">
        <v>44406.0</v>
      </c>
      <c r="W134" s="76">
        <v>46001.0</v>
      </c>
      <c r="X134" s="76">
        <v>46047.0</v>
      </c>
      <c r="Y134" s="61">
        <v>0.0</v>
      </c>
      <c r="Z134" s="61">
        <v>0.0</v>
      </c>
      <c r="AA134" s="76">
        <v>46047.0</v>
      </c>
      <c r="AB134" s="27">
        <f t="shared" si="4"/>
        <v>-135</v>
      </c>
      <c r="AC134" s="73">
        <v>100.0</v>
      </c>
      <c r="AD134" s="63">
        <v>0.0</v>
      </c>
      <c r="AE134" s="42">
        <f t="shared" si="16"/>
        <v>101508608</v>
      </c>
      <c r="AF134" s="42">
        <v>9.6433177E7</v>
      </c>
      <c r="AG134" s="77">
        <f t="shared" si="13"/>
        <v>1</v>
      </c>
      <c r="AH134" s="77">
        <f t="shared" si="7"/>
        <v>0.9499999941</v>
      </c>
      <c r="AI134" s="60" t="s">
        <v>686</v>
      </c>
      <c r="AJ134" s="38"/>
      <c r="AK134" s="31"/>
      <c r="AL134" s="38"/>
      <c r="AM134" s="39"/>
      <c r="AN134" s="39"/>
      <c r="AO134" s="39"/>
      <c r="AP134" s="34"/>
      <c r="AQ134" s="39"/>
      <c r="AR134" s="39"/>
      <c r="AS134" s="50"/>
      <c r="AT134" s="50"/>
      <c r="AU134" s="50"/>
    </row>
    <row r="135" ht="104.25" customHeight="1">
      <c r="A135" s="28">
        <v>2025.0</v>
      </c>
      <c r="B135" s="60" t="s">
        <v>309</v>
      </c>
      <c r="C135" s="40" t="s">
        <v>63</v>
      </c>
      <c r="D135" s="60" t="s">
        <v>507</v>
      </c>
      <c r="E135" s="37" t="s">
        <v>687</v>
      </c>
      <c r="F135" s="60" t="s">
        <v>683</v>
      </c>
      <c r="G135" s="60" t="s">
        <v>688</v>
      </c>
      <c r="H135" s="60" t="s">
        <v>93</v>
      </c>
      <c r="I135" s="60" t="s">
        <v>689</v>
      </c>
      <c r="J135" s="60" t="s">
        <v>690</v>
      </c>
      <c r="K135" s="60">
        <v>1.5</v>
      </c>
      <c r="L135" s="73">
        <v>100.0</v>
      </c>
      <c r="M135" s="63">
        <v>0.0</v>
      </c>
      <c r="N135" s="42">
        <v>9.9638658E7</v>
      </c>
      <c r="O135" s="42">
        <v>1.3439899E7</v>
      </c>
      <c r="P135" s="64">
        <f t="shared" si="2"/>
        <v>113078557</v>
      </c>
      <c r="Q135" s="59">
        <v>0.0</v>
      </c>
      <c r="R135" s="59">
        <v>0.0</v>
      </c>
      <c r="S135" s="65">
        <f t="shared" si="3"/>
        <v>113078557</v>
      </c>
      <c r="T135" s="78" t="s">
        <v>53</v>
      </c>
      <c r="U135" s="78" t="s">
        <v>53</v>
      </c>
      <c r="V135" s="75">
        <v>44406.0</v>
      </c>
      <c r="W135" s="76">
        <v>46042.0</v>
      </c>
      <c r="X135" s="76">
        <v>46088.0</v>
      </c>
      <c r="Y135" s="61">
        <v>0.0</v>
      </c>
      <c r="Z135" s="86">
        <v>0.8</v>
      </c>
      <c r="AA135" s="76">
        <v>46108.0</v>
      </c>
      <c r="AB135" s="27">
        <f t="shared" si="4"/>
        <v>-74</v>
      </c>
      <c r="AC135" s="73">
        <v>100.0</v>
      </c>
      <c r="AD135" s="63">
        <v>0.0</v>
      </c>
      <c r="AE135" s="42">
        <f t="shared" si="16"/>
        <v>99638658</v>
      </c>
      <c r="AF135" s="42">
        <v>2.9891597E7</v>
      </c>
      <c r="AG135" s="77">
        <f t="shared" si="13"/>
        <v>1</v>
      </c>
      <c r="AH135" s="77">
        <f t="shared" si="7"/>
        <v>0.299999996</v>
      </c>
      <c r="AI135" s="60" t="s">
        <v>691</v>
      </c>
      <c r="AJ135" s="38"/>
      <c r="AK135" s="31"/>
      <c r="AL135" s="38"/>
      <c r="AM135" s="39"/>
      <c r="AN135" s="39"/>
      <c r="AO135" s="39"/>
      <c r="AP135" s="55"/>
      <c r="AQ135" s="39"/>
      <c r="AR135" s="39"/>
      <c r="AS135" s="50"/>
      <c r="AT135" s="50"/>
      <c r="AU135" s="50"/>
    </row>
    <row r="136" ht="104.25" customHeight="1">
      <c r="A136" s="28">
        <v>2025.0</v>
      </c>
      <c r="B136" s="60" t="s">
        <v>309</v>
      </c>
      <c r="C136" s="40" t="s">
        <v>63</v>
      </c>
      <c r="D136" s="60" t="s">
        <v>507</v>
      </c>
      <c r="E136" s="37" t="s">
        <v>692</v>
      </c>
      <c r="F136" s="60" t="s">
        <v>683</v>
      </c>
      <c r="G136" s="60" t="s">
        <v>693</v>
      </c>
      <c r="H136" s="60" t="s">
        <v>93</v>
      </c>
      <c r="I136" s="60" t="s">
        <v>694</v>
      </c>
      <c r="J136" s="60" t="s">
        <v>695</v>
      </c>
      <c r="K136" s="60">
        <v>1.5</v>
      </c>
      <c r="L136" s="73">
        <v>100.0</v>
      </c>
      <c r="M136" s="63">
        <v>0.0</v>
      </c>
      <c r="N136" s="42">
        <v>1.21910004E8</v>
      </c>
      <c r="O136" s="42">
        <v>1.5729347E7</v>
      </c>
      <c r="P136" s="64">
        <f t="shared" si="2"/>
        <v>137639351</v>
      </c>
      <c r="Q136" s="59">
        <v>0.0</v>
      </c>
      <c r="R136" s="59">
        <v>0.0</v>
      </c>
      <c r="S136" s="65">
        <f t="shared" si="3"/>
        <v>137639351</v>
      </c>
      <c r="T136" s="78" t="s">
        <v>53</v>
      </c>
      <c r="U136" s="78" t="s">
        <v>53</v>
      </c>
      <c r="V136" s="75">
        <v>44406.0</v>
      </c>
      <c r="W136" s="76">
        <v>46042.0</v>
      </c>
      <c r="X136" s="76">
        <v>46088.0</v>
      </c>
      <c r="Y136" s="61">
        <v>0.0</v>
      </c>
      <c r="Z136" s="61">
        <v>0.0</v>
      </c>
      <c r="AA136" s="76">
        <v>46108.0</v>
      </c>
      <c r="AB136" s="27">
        <f t="shared" si="4"/>
        <v>-74</v>
      </c>
      <c r="AC136" s="73">
        <v>100.0</v>
      </c>
      <c r="AD136" s="63">
        <v>0.0</v>
      </c>
      <c r="AE136" s="42">
        <f t="shared" si="16"/>
        <v>121910004</v>
      </c>
      <c r="AF136" s="42">
        <v>3.6573001E7</v>
      </c>
      <c r="AG136" s="77">
        <f t="shared" si="13"/>
        <v>1</v>
      </c>
      <c r="AH136" s="77">
        <f t="shared" si="7"/>
        <v>0.2999999984</v>
      </c>
      <c r="AI136" s="60" t="s">
        <v>696</v>
      </c>
      <c r="AJ136" s="38"/>
      <c r="AK136" s="31"/>
      <c r="AL136" s="38"/>
      <c r="AM136" s="39"/>
      <c r="AN136" s="39"/>
      <c r="AO136" s="39"/>
      <c r="AP136" s="34"/>
      <c r="AQ136" s="39"/>
      <c r="AR136" s="35"/>
      <c r="AS136" s="50"/>
      <c r="AT136" s="50"/>
      <c r="AU136" s="50"/>
    </row>
    <row r="137" ht="104.25" customHeight="1">
      <c r="A137" s="28">
        <v>2025.0</v>
      </c>
      <c r="B137" s="60" t="s">
        <v>46</v>
      </c>
      <c r="C137" s="40" t="s">
        <v>63</v>
      </c>
      <c r="D137" s="60" t="s">
        <v>507</v>
      </c>
      <c r="E137" s="37" t="s">
        <v>697</v>
      </c>
      <c r="F137" s="60" t="s">
        <v>698</v>
      </c>
      <c r="G137" s="60" t="s">
        <v>699</v>
      </c>
      <c r="H137" s="60" t="s">
        <v>50</v>
      </c>
      <c r="I137" s="60" t="s">
        <v>700</v>
      </c>
      <c r="J137" s="60" t="s">
        <v>701</v>
      </c>
      <c r="K137" s="60">
        <v>1.5</v>
      </c>
      <c r="L137" s="73">
        <v>100.0</v>
      </c>
      <c r="M137" s="63">
        <v>0.0</v>
      </c>
      <c r="N137" s="42">
        <v>1.22381125E8</v>
      </c>
      <c r="O137" s="42">
        <v>1.8935627E7</v>
      </c>
      <c r="P137" s="64">
        <f t="shared" si="2"/>
        <v>141316752</v>
      </c>
      <c r="Q137" s="59">
        <v>0.0</v>
      </c>
      <c r="R137" s="59">
        <v>0.0</v>
      </c>
      <c r="S137" s="65">
        <f t="shared" si="3"/>
        <v>141316752</v>
      </c>
      <c r="T137" s="78" t="s">
        <v>53</v>
      </c>
      <c r="U137" s="78" t="s">
        <v>53</v>
      </c>
      <c r="V137" s="75">
        <v>44406.0</v>
      </c>
      <c r="W137" s="76">
        <v>46128.0</v>
      </c>
      <c r="X137" s="76">
        <v>46142.0</v>
      </c>
      <c r="Y137" s="61">
        <v>0.0</v>
      </c>
      <c r="Z137" s="61">
        <v>0.0</v>
      </c>
      <c r="AA137" s="76">
        <v>46142.0</v>
      </c>
      <c r="AB137" s="27">
        <f t="shared" si="4"/>
        <v>-40</v>
      </c>
      <c r="AC137" s="73">
        <v>30.0</v>
      </c>
      <c r="AD137" s="63">
        <v>0.0</v>
      </c>
      <c r="AE137" s="42">
        <f t="shared" si="16"/>
        <v>122381125</v>
      </c>
      <c r="AF137" s="42">
        <v>3.6714337E7</v>
      </c>
      <c r="AG137" s="77">
        <f t="shared" si="13"/>
        <v>0.3</v>
      </c>
      <c r="AH137" s="77">
        <f t="shared" si="7"/>
        <v>0.2999999959</v>
      </c>
      <c r="AI137" s="60" t="s">
        <v>702</v>
      </c>
      <c r="AJ137" s="38"/>
      <c r="AK137" s="31"/>
      <c r="AL137" s="38"/>
      <c r="AM137" s="39"/>
      <c r="AN137" s="39"/>
      <c r="AO137" s="39"/>
      <c r="AP137" s="34"/>
      <c r="AQ137" s="39"/>
      <c r="AR137" s="35"/>
      <c r="AS137" s="50"/>
      <c r="AT137" s="50"/>
      <c r="AU137" s="50"/>
    </row>
    <row r="138" ht="104.25" customHeight="1">
      <c r="A138" s="28">
        <v>2025.0</v>
      </c>
      <c r="B138" s="60" t="s">
        <v>78</v>
      </c>
      <c r="C138" s="40" t="s">
        <v>63</v>
      </c>
      <c r="D138" s="60" t="s">
        <v>507</v>
      </c>
      <c r="E138" s="37" t="s">
        <v>703</v>
      </c>
      <c r="F138" s="60" t="s">
        <v>103</v>
      </c>
      <c r="G138" s="60" t="s">
        <v>704</v>
      </c>
      <c r="H138" s="60" t="s">
        <v>93</v>
      </c>
      <c r="I138" s="60" t="s">
        <v>705</v>
      </c>
      <c r="J138" s="60" t="s">
        <v>706</v>
      </c>
      <c r="K138" s="60">
        <v>1.5</v>
      </c>
      <c r="L138" s="73">
        <v>500.0</v>
      </c>
      <c r="M138" s="63">
        <v>0.0</v>
      </c>
      <c r="N138" s="42">
        <v>5.95495644E8</v>
      </c>
      <c r="O138" s="42">
        <v>3.1297041E7</v>
      </c>
      <c r="P138" s="64">
        <f t="shared" si="2"/>
        <v>626792685</v>
      </c>
      <c r="Q138" s="59">
        <v>0.0</v>
      </c>
      <c r="R138" s="59">
        <v>0.0</v>
      </c>
      <c r="S138" s="65">
        <f t="shared" si="3"/>
        <v>626792685</v>
      </c>
      <c r="T138" s="78" t="s">
        <v>53</v>
      </c>
      <c r="U138" s="78" t="s">
        <v>53</v>
      </c>
      <c r="V138" s="75">
        <v>44406.0</v>
      </c>
      <c r="W138" s="76">
        <v>46006.0</v>
      </c>
      <c r="X138" s="76">
        <v>46096.0</v>
      </c>
      <c r="Y138" s="61">
        <v>0.0</v>
      </c>
      <c r="Z138" s="86">
        <v>2.5</v>
      </c>
      <c r="AA138" s="76">
        <v>46173.0</v>
      </c>
      <c r="AB138" s="27">
        <f t="shared" si="4"/>
        <v>-9</v>
      </c>
      <c r="AC138" s="73">
        <v>280.0</v>
      </c>
      <c r="AD138" s="63">
        <v>0.0</v>
      </c>
      <c r="AE138" s="42">
        <f t="shared" si="16"/>
        <v>595495644</v>
      </c>
      <c r="AF138" s="42">
        <v>1.78647793E8</v>
      </c>
      <c r="AG138" s="77">
        <f t="shared" si="13"/>
        <v>0.56</v>
      </c>
      <c r="AH138" s="77">
        <f t="shared" si="7"/>
        <v>0.2999984883</v>
      </c>
      <c r="AI138" s="60" t="s">
        <v>707</v>
      </c>
      <c r="AJ138" s="38"/>
      <c r="AK138" s="31"/>
      <c r="AL138" s="38"/>
      <c r="AM138" s="39"/>
      <c r="AN138" s="39"/>
      <c r="AO138" s="39"/>
      <c r="AP138" s="34"/>
      <c r="AQ138" s="39"/>
      <c r="AR138" s="39"/>
      <c r="AS138" s="50"/>
      <c r="AT138" s="50"/>
      <c r="AU138" s="50"/>
    </row>
    <row r="139" ht="104.25" customHeight="1">
      <c r="A139" s="28">
        <v>2025.0</v>
      </c>
      <c r="B139" s="60" t="s">
        <v>46</v>
      </c>
      <c r="C139" s="40" t="s">
        <v>63</v>
      </c>
      <c r="D139" s="60" t="s">
        <v>507</v>
      </c>
      <c r="E139" s="37" t="s">
        <v>708</v>
      </c>
      <c r="F139" s="60" t="s">
        <v>709</v>
      </c>
      <c r="G139" s="60" t="s">
        <v>710</v>
      </c>
      <c r="H139" s="60" t="s">
        <v>50</v>
      </c>
      <c r="I139" s="60" t="s">
        <v>711</v>
      </c>
      <c r="J139" s="60" t="s">
        <v>712</v>
      </c>
      <c r="K139" s="60">
        <v>1.5</v>
      </c>
      <c r="L139" s="73">
        <v>100.0</v>
      </c>
      <c r="M139" s="63">
        <v>0.0</v>
      </c>
      <c r="N139" s="42">
        <v>1.22411794E8</v>
      </c>
      <c r="O139" s="42">
        <v>8999214.0</v>
      </c>
      <c r="P139" s="64">
        <f t="shared" si="2"/>
        <v>131411008</v>
      </c>
      <c r="Q139" s="59">
        <v>0.0</v>
      </c>
      <c r="R139" s="59">
        <v>0.0</v>
      </c>
      <c r="S139" s="65">
        <f t="shared" si="3"/>
        <v>131411008</v>
      </c>
      <c r="T139" s="78" t="s">
        <v>53</v>
      </c>
      <c r="U139" s="78" t="s">
        <v>53</v>
      </c>
      <c r="V139" s="75">
        <v>44406.0</v>
      </c>
      <c r="W139" s="76">
        <v>46099.0</v>
      </c>
      <c r="X139" s="76">
        <v>46145.0</v>
      </c>
      <c r="Y139" s="61">
        <v>0.0</v>
      </c>
      <c r="Z139" s="86">
        <v>0.0</v>
      </c>
      <c r="AA139" s="76">
        <v>46145.0</v>
      </c>
      <c r="AB139" s="27">
        <f t="shared" si="4"/>
        <v>-37</v>
      </c>
      <c r="AC139" s="73">
        <v>100.0</v>
      </c>
      <c r="AD139" s="63">
        <v>0.0</v>
      </c>
      <c r="AE139" s="42">
        <f t="shared" si="16"/>
        <v>122411794</v>
      </c>
      <c r="AF139" s="42">
        <v>3.6723538E7</v>
      </c>
      <c r="AG139" s="77">
        <f t="shared" si="13"/>
        <v>1</v>
      </c>
      <c r="AH139" s="77">
        <f t="shared" si="7"/>
        <v>0.2999999984</v>
      </c>
      <c r="AI139" s="60" t="s">
        <v>713</v>
      </c>
      <c r="AJ139" s="38"/>
      <c r="AK139" s="31"/>
      <c r="AL139" s="38"/>
      <c r="AM139" s="39"/>
      <c r="AN139" s="39"/>
      <c r="AO139" s="39"/>
      <c r="AP139" s="55"/>
      <c r="AQ139" s="39"/>
      <c r="AR139" s="39"/>
      <c r="AS139" s="50"/>
      <c r="AT139" s="50"/>
      <c r="AU139" s="50"/>
    </row>
    <row r="140" ht="104.25" customHeight="1">
      <c r="A140" s="28">
        <v>2025.0</v>
      </c>
      <c r="B140" s="60" t="s">
        <v>588</v>
      </c>
      <c r="C140" s="40" t="s">
        <v>63</v>
      </c>
      <c r="D140" s="60" t="s">
        <v>507</v>
      </c>
      <c r="E140" s="37" t="s">
        <v>714</v>
      </c>
      <c r="F140" s="60" t="s">
        <v>483</v>
      </c>
      <c r="G140" s="60" t="s">
        <v>715</v>
      </c>
      <c r="H140" s="60" t="s">
        <v>716</v>
      </c>
      <c r="I140" s="60" t="s">
        <v>717</v>
      </c>
      <c r="J140" s="60" t="s">
        <v>718</v>
      </c>
      <c r="K140" s="60">
        <v>1.5</v>
      </c>
      <c r="L140" s="73">
        <v>100.0</v>
      </c>
      <c r="M140" s="63">
        <v>0.0</v>
      </c>
      <c r="N140" s="42">
        <v>1.14155834E8</v>
      </c>
      <c r="O140" s="42">
        <v>1.4316648E7</v>
      </c>
      <c r="P140" s="64">
        <f t="shared" si="2"/>
        <v>128472482</v>
      </c>
      <c r="Q140" s="59">
        <v>0.0</v>
      </c>
      <c r="R140" s="59">
        <v>0.0</v>
      </c>
      <c r="S140" s="65">
        <f t="shared" si="3"/>
        <v>128472482</v>
      </c>
      <c r="T140" s="78" t="s">
        <v>53</v>
      </c>
      <c r="U140" s="78" t="s">
        <v>53</v>
      </c>
      <c r="V140" s="75">
        <v>44406.0</v>
      </c>
      <c r="W140" s="76">
        <v>46084.0</v>
      </c>
      <c r="X140" s="76">
        <v>46130.0</v>
      </c>
      <c r="Y140" s="61">
        <v>0.0</v>
      </c>
      <c r="Z140" s="86">
        <v>0.0</v>
      </c>
      <c r="AA140" s="76">
        <v>46130.0</v>
      </c>
      <c r="AB140" s="27">
        <f t="shared" si="4"/>
        <v>-52</v>
      </c>
      <c r="AC140" s="73">
        <v>100.0</v>
      </c>
      <c r="AD140" s="63">
        <v>0.0</v>
      </c>
      <c r="AE140" s="42">
        <f t="shared" si="16"/>
        <v>114155834</v>
      </c>
      <c r="AF140" s="42">
        <v>3.424675E7</v>
      </c>
      <c r="AG140" s="77">
        <f t="shared" si="13"/>
        <v>1</v>
      </c>
      <c r="AH140" s="77">
        <f t="shared" si="7"/>
        <v>0.2999999982</v>
      </c>
      <c r="AI140" s="60" t="s">
        <v>351</v>
      </c>
      <c r="AJ140" s="38"/>
      <c r="AK140" s="31"/>
      <c r="AL140" s="38"/>
      <c r="AM140" s="39"/>
      <c r="AN140" s="39"/>
      <c r="AO140" s="39"/>
      <c r="AP140" s="34"/>
      <c r="AQ140" s="39"/>
      <c r="AR140" s="35"/>
      <c r="AS140" s="50"/>
      <c r="AT140" s="50"/>
      <c r="AU140" s="50"/>
    </row>
    <row r="141" ht="104.25" customHeight="1">
      <c r="A141" s="28">
        <v>2025.0</v>
      </c>
      <c r="B141" s="60" t="s">
        <v>588</v>
      </c>
      <c r="C141" s="40" t="s">
        <v>63</v>
      </c>
      <c r="D141" s="60" t="s">
        <v>507</v>
      </c>
      <c r="E141" s="37" t="s">
        <v>719</v>
      </c>
      <c r="F141" s="60" t="s">
        <v>642</v>
      </c>
      <c r="G141" s="60" t="s">
        <v>720</v>
      </c>
      <c r="H141" s="60" t="s">
        <v>109</v>
      </c>
      <c r="I141" s="60" t="s">
        <v>721</v>
      </c>
      <c r="J141" s="60" t="s">
        <v>722</v>
      </c>
      <c r="K141" s="60">
        <v>1.5</v>
      </c>
      <c r="L141" s="73">
        <v>100.0</v>
      </c>
      <c r="M141" s="63">
        <v>0.0</v>
      </c>
      <c r="N141" s="42">
        <v>1.20681315E8</v>
      </c>
      <c r="O141" s="42">
        <v>1.4533622E7</v>
      </c>
      <c r="P141" s="64">
        <f t="shared" si="2"/>
        <v>135214937</v>
      </c>
      <c r="Q141" s="59">
        <v>0.0</v>
      </c>
      <c r="R141" s="59">
        <v>0.0</v>
      </c>
      <c r="S141" s="65">
        <f t="shared" si="3"/>
        <v>135214937</v>
      </c>
      <c r="T141" s="78" t="s">
        <v>53</v>
      </c>
      <c r="U141" s="78" t="s">
        <v>53</v>
      </c>
      <c r="V141" s="75">
        <v>44406.0</v>
      </c>
      <c r="W141" s="76">
        <v>46042.0</v>
      </c>
      <c r="X141" s="76">
        <v>46088.0</v>
      </c>
      <c r="Y141" s="61">
        <v>0.0</v>
      </c>
      <c r="Z141" s="86">
        <v>0.5</v>
      </c>
      <c r="AA141" s="76">
        <v>46103.0</v>
      </c>
      <c r="AB141" s="27">
        <f t="shared" si="4"/>
        <v>-79</v>
      </c>
      <c r="AC141" s="73">
        <v>100.0</v>
      </c>
      <c r="AD141" s="63">
        <v>0.0</v>
      </c>
      <c r="AE141" s="42">
        <f t="shared" si="16"/>
        <v>120681315</v>
      </c>
      <c r="AF141" s="42">
        <v>3.6204395E7</v>
      </c>
      <c r="AG141" s="77">
        <f t="shared" si="13"/>
        <v>1</v>
      </c>
      <c r="AH141" s="77">
        <f t="shared" si="7"/>
        <v>0.3000000041</v>
      </c>
      <c r="AI141" s="60" t="s">
        <v>723</v>
      </c>
      <c r="AJ141" s="38"/>
      <c r="AK141" s="31"/>
      <c r="AL141" s="38"/>
      <c r="AM141" s="39"/>
      <c r="AN141" s="39"/>
      <c r="AO141" s="39"/>
      <c r="AP141" s="34"/>
      <c r="AQ141" s="39"/>
      <c r="AR141" s="35"/>
      <c r="AS141" s="50"/>
      <c r="AT141" s="50"/>
      <c r="AU141" s="50"/>
    </row>
    <row r="142" ht="104.25" customHeight="1">
      <c r="A142" s="28">
        <v>2025.0</v>
      </c>
      <c r="B142" s="60" t="s">
        <v>46</v>
      </c>
      <c r="C142" s="40" t="s">
        <v>63</v>
      </c>
      <c r="D142" s="60" t="s">
        <v>507</v>
      </c>
      <c r="E142" s="37" t="s">
        <v>724</v>
      </c>
      <c r="F142" s="60" t="s">
        <v>49</v>
      </c>
      <c r="G142" s="60" t="s">
        <v>725</v>
      </c>
      <c r="H142" s="60" t="s">
        <v>50</v>
      </c>
      <c r="I142" s="60" t="s">
        <v>726</v>
      </c>
      <c r="J142" s="60" t="s">
        <v>727</v>
      </c>
      <c r="K142" s="60">
        <v>1.5</v>
      </c>
      <c r="L142" s="73">
        <v>100.0</v>
      </c>
      <c r="M142" s="63">
        <v>0.0</v>
      </c>
      <c r="N142" s="42">
        <v>1.22487624E8</v>
      </c>
      <c r="O142" s="42">
        <v>1.7392631E7</v>
      </c>
      <c r="P142" s="64">
        <f t="shared" si="2"/>
        <v>139880255</v>
      </c>
      <c r="Q142" s="59">
        <v>0.0</v>
      </c>
      <c r="R142" s="59">
        <v>0.0</v>
      </c>
      <c r="S142" s="65">
        <f t="shared" si="3"/>
        <v>139880255</v>
      </c>
      <c r="T142" s="78" t="s">
        <v>70</v>
      </c>
      <c r="U142" s="78" t="s">
        <v>70</v>
      </c>
      <c r="V142" s="75">
        <v>44406.0</v>
      </c>
      <c r="W142" s="76">
        <v>46161.0</v>
      </c>
      <c r="X142" s="76">
        <v>46207.0</v>
      </c>
      <c r="Y142" s="61">
        <v>0.0</v>
      </c>
      <c r="Z142" s="86">
        <v>0.0</v>
      </c>
      <c r="AA142" s="76">
        <v>46207.0</v>
      </c>
      <c r="AB142" s="27">
        <f t="shared" si="4"/>
        <v>25</v>
      </c>
      <c r="AC142" s="73">
        <v>0.0</v>
      </c>
      <c r="AD142" s="63">
        <v>0.0</v>
      </c>
      <c r="AE142" s="42">
        <f t="shared" si="16"/>
        <v>122487624</v>
      </c>
      <c r="AF142" s="42">
        <v>3.6746287E7</v>
      </c>
      <c r="AG142" s="77">
        <f t="shared" si="13"/>
        <v>0</v>
      </c>
      <c r="AH142" s="77">
        <f t="shared" si="7"/>
        <v>0.2999999984</v>
      </c>
      <c r="AI142" s="60" t="s">
        <v>728</v>
      </c>
      <c r="AJ142" s="38"/>
      <c r="AK142" s="31"/>
      <c r="AL142" s="38"/>
      <c r="AM142" s="39"/>
      <c r="AN142" s="39"/>
      <c r="AO142" s="39"/>
      <c r="AP142" s="34"/>
      <c r="AQ142" s="39"/>
      <c r="AR142" s="39"/>
      <c r="AS142" s="50"/>
      <c r="AT142" s="50"/>
      <c r="AU142" s="50"/>
    </row>
    <row r="143" ht="104.25" customHeight="1">
      <c r="A143" s="28">
        <v>2025.0</v>
      </c>
      <c r="B143" s="60" t="s">
        <v>46</v>
      </c>
      <c r="C143" s="40" t="s">
        <v>63</v>
      </c>
      <c r="D143" s="60" t="s">
        <v>507</v>
      </c>
      <c r="E143" s="37" t="s">
        <v>729</v>
      </c>
      <c r="F143" s="60" t="s">
        <v>698</v>
      </c>
      <c r="G143" s="60" t="s">
        <v>730</v>
      </c>
      <c r="H143" s="60" t="s">
        <v>50</v>
      </c>
      <c r="I143" s="60" t="s">
        <v>731</v>
      </c>
      <c r="J143" s="60" t="s">
        <v>732</v>
      </c>
      <c r="K143" s="60">
        <v>1.5</v>
      </c>
      <c r="L143" s="73">
        <v>100.0</v>
      </c>
      <c r="M143" s="63">
        <v>0.0</v>
      </c>
      <c r="N143" s="42">
        <v>1.22412855E8</v>
      </c>
      <c r="O143" s="42">
        <v>1.9801473E7</v>
      </c>
      <c r="P143" s="64">
        <f t="shared" si="2"/>
        <v>142214328</v>
      </c>
      <c r="Q143" s="59">
        <v>0.0</v>
      </c>
      <c r="R143" s="59">
        <v>0.0</v>
      </c>
      <c r="S143" s="65">
        <f t="shared" si="3"/>
        <v>142214328</v>
      </c>
      <c r="T143" s="78" t="s">
        <v>53</v>
      </c>
      <c r="U143" s="78" t="s">
        <v>53</v>
      </c>
      <c r="V143" s="75">
        <v>44406.0</v>
      </c>
      <c r="W143" s="76">
        <v>46091.0</v>
      </c>
      <c r="X143" s="76">
        <v>46137.0</v>
      </c>
      <c r="Y143" s="61">
        <v>0.0</v>
      </c>
      <c r="Z143" s="86">
        <v>0.0</v>
      </c>
      <c r="AA143" s="76">
        <v>46137.0</v>
      </c>
      <c r="AB143" s="27">
        <f t="shared" si="4"/>
        <v>-45</v>
      </c>
      <c r="AC143" s="73">
        <v>100.0</v>
      </c>
      <c r="AD143" s="63">
        <v>0.0</v>
      </c>
      <c r="AE143" s="42">
        <f t="shared" si="16"/>
        <v>122412855</v>
      </c>
      <c r="AF143" s="42">
        <f>36723857+79568356</f>
        <v>116292213</v>
      </c>
      <c r="AG143" s="77">
        <f t="shared" si="13"/>
        <v>1</v>
      </c>
      <c r="AH143" s="77">
        <f t="shared" si="7"/>
        <v>0.9500000061</v>
      </c>
      <c r="AI143" s="60" t="s">
        <v>713</v>
      </c>
      <c r="AJ143" s="38"/>
      <c r="AK143" s="31"/>
      <c r="AL143" s="38"/>
      <c r="AM143" s="39"/>
      <c r="AN143" s="39"/>
      <c r="AO143" s="39"/>
      <c r="AP143" s="55"/>
      <c r="AQ143" s="39"/>
      <c r="AR143" s="39"/>
      <c r="AS143" s="50"/>
      <c r="AT143" s="50"/>
      <c r="AU143" s="50"/>
    </row>
    <row r="144" ht="104.25" customHeight="1">
      <c r="A144" s="28">
        <v>2025.0</v>
      </c>
      <c r="B144" s="60" t="s">
        <v>46</v>
      </c>
      <c r="C144" s="40" t="s">
        <v>63</v>
      </c>
      <c r="D144" s="60" t="s">
        <v>507</v>
      </c>
      <c r="E144" s="37" t="s">
        <v>733</v>
      </c>
      <c r="F144" s="60" t="s">
        <v>698</v>
      </c>
      <c r="G144" s="60" t="s">
        <v>734</v>
      </c>
      <c r="H144" s="60" t="s">
        <v>50</v>
      </c>
      <c r="I144" s="60" t="s">
        <v>735</v>
      </c>
      <c r="J144" s="60" t="s">
        <v>736</v>
      </c>
      <c r="K144" s="60">
        <v>1.5</v>
      </c>
      <c r="L144" s="73">
        <v>100.0</v>
      </c>
      <c r="M144" s="63">
        <v>0.0</v>
      </c>
      <c r="N144" s="42">
        <v>1.22439826E8</v>
      </c>
      <c r="O144" s="42">
        <v>1.7713338E7</v>
      </c>
      <c r="P144" s="64">
        <f t="shared" si="2"/>
        <v>140153164</v>
      </c>
      <c r="Q144" s="59">
        <v>0.0</v>
      </c>
      <c r="R144" s="59">
        <v>0.0</v>
      </c>
      <c r="S144" s="65">
        <f t="shared" si="3"/>
        <v>140153164</v>
      </c>
      <c r="T144" s="78" t="s">
        <v>53</v>
      </c>
      <c r="U144" s="78" t="s">
        <v>53</v>
      </c>
      <c r="V144" s="75">
        <v>44406.0</v>
      </c>
      <c r="W144" s="76">
        <v>46120.0</v>
      </c>
      <c r="X144" s="76">
        <v>46165.0</v>
      </c>
      <c r="Y144" s="61">
        <v>0.0</v>
      </c>
      <c r="Z144" s="86">
        <v>0.0</v>
      </c>
      <c r="AA144" s="76">
        <v>46165.0</v>
      </c>
      <c r="AB144" s="27">
        <f t="shared" si="4"/>
        <v>-17</v>
      </c>
      <c r="AC144" s="73">
        <v>40.0</v>
      </c>
      <c r="AD144" s="63">
        <v>0.0</v>
      </c>
      <c r="AE144" s="42">
        <f t="shared" si="16"/>
        <v>122439826</v>
      </c>
      <c r="AF144" s="42">
        <v>3.6731948E7</v>
      </c>
      <c r="AG144" s="77">
        <f t="shared" si="13"/>
        <v>0.4</v>
      </c>
      <c r="AH144" s="77">
        <f t="shared" si="7"/>
        <v>0.3000000016</v>
      </c>
      <c r="AI144" s="60" t="s">
        <v>737</v>
      </c>
      <c r="AJ144" s="38"/>
      <c r="AK144" s="31"/>
      <c r="AL144" s="38"/>
      <c r="AM144" s="39"/>
      <c r="AN144" s="39"/>
      <c r="AO144" s="39"/>
      <c r="AP144" s="34"/>
      <c r="AQ144" s="39"/>
      <c r="AR144" s="35"/>
      <c r="AS144" s="50"/>
      <c r="AT144" s="50"/>
      <c r="AU144" s="50"/>
    </row>
    <row r="145" ht="104.25" customHeight="1">
      <c r="A145" s="28">
        <v>2025.0</v>
      </c>
      <c r="B145" s="60" t="s">
        <v>738</v>
      </c>
      <c r="C145" s="15" t="s">
        <v>739</v>
      </c>
      <c r="D145" s="60" t="s">
        <v>48</v>
      </c>
      <c r="E145" s="37">
        <v>4.600018673E9</v>
      </c>
      <c r="F145" s="60" t="s">
        <v>515</v>
      </c>
      <c r="G145" s="60" t="str">
        <f t="shared" ref="G145:G146" si="17">F145</f>
        <v>JARDÍN</v>
      </c>
      <c r="H145" s="60" t="s">
        <v>67</v>
      </c>
      <c r="I145" s="60" t="s">
        <v>740</v>
      </c>
      <c r="J145" s="60"/>
      <c r="K145" s="60">
        <v>1.0</v>
      </c>
      <c r="L145" s="73">
        <v>100.0</v>
      </c>
      <c r="M145" s="63">
        <v>0.0</v>
      </c>
      <c r="N145" s="42">
        <v>2.120935022E9</v>
      </c>
      <c r="O145" s="42">
        <v>0.0</v>
      </c>
      <c r="P145" s="64">
        <f t="shared" si="2"/>
        <v>2120935022</v>
      </c>
      <c r="Q145" s="59">
        <v>0.0</v>
      </c>
      <c r="R145" s="59">
        <v>0.0</v>
      </c>
      <c r="S145" s="65">
        <f t="shared" si="3"/>
        <v>2120935022</v>
      </c>
      <c r="T145" s="78" t="s">
        <v>70</v>
      </c>
      <c r="U145" s="78" t="s">
        <v>70</v>
      </c>
      <c r="V145" s="75">
        <v>44406.0</v>
      </c>
      <c r="W145" s="76">
        <v>46002.0</v>
      </c>
      <c r="X145" s="76">
        <v>46387.0</v>
      </c>
      <c r="Y145" s="61">
        <v>0.0</v>
      </c>
      <c r="Z145" s="86">
        <v>0.0</v>
      </c>
      <c r="AA145" s="76">
        <v>46387.0</v>
      </c>
      <c r="AB145" s="27">
        <f t="shared" si="4"/>
        <v>205</v>
      </c>
      <c r="AC145" s="73">
        <v>0.0</v>
      </c>
      <c r="AD145" s="63">
        <v>0.0</v>
      </c>
      <c r="AE145" s="42">
        <f t="shared" si="16"/>
        <v>2120935022</v>
      </c>
      <c r="AF145" s="42">
        <v>0.0</v>
      </c>
      <c r="AG145" s="77">
        <f t="shared" si="13"/>
        <v>0</v>
      </c>
      <c r="AH145" s="77">
        <f t="shared" si="7"/>
        <v>0</v>
      </c>
      <c r="AI145" s="60" t="s">
        <v>741</v>
      </c>
      <c r="AJ145" s="38"/>
      <c r="AK145" s="31"/>
      <c r="AL145" s="38"/>
      <c r="AM145" s="39"/>
      <c r="AN145" s="39"/>
      <c r="AO145" s="39"/>
      <c r="AP145" s="34"/>
      <c r="AQ145" s="39"/>
      <c r="AR145" s="35"/>
      <c r="AS145" s="50"/>
      <c r="AT145" s="50"/>
      <c r="AU145" s="50"/>
    </row>
    <row r="146" ht="104.25" customHeight="1">
      <c r="A146" s="28">
        <v>2025.0</v>
      </c>
      <c r="B146" s="60" t="s">
        <v>738</v>
      </c>
      <c r="C146" s="15" t="s">
        <v>739</v>
      </c>
      <c r="D146" s="60" t="s">
        <v>48</v>
      </c>
      <c r="E146" s="37">
        <v>4.600018673E9</v>
      </c>
      <c r="F146" s="60" t="s">
        <v>450</v>
      </c>
      <c r="G146" s="60" t="str">
        <f t="shared" si="17"/>
        <v>JERICO</v>
      </c>
      <c r="H146" s="60" t="s">
        <v>67</v>
      </c>
      <c r="I146" s="60" t="s">
        <v>740</v>
      </c>
      <c r="J146" s="60"/>
      <c r="K146" s="60">
        <v>1.0</v>
      </c>
      <c r="L146" s="73">
        <v>100.0</v>
      </c>
      <c r="M146" s="63">
        <v>0.0</v>
      </c>
      <c r="N146" s="42">
        <v>2.120935022E9</v>
      </c>
      <c r="O146" s="42">
        <v>0.0</v>
      </c>
      <c r="P146" s="64">
        <f t="shared" si="2"/>
        <v>2120935022</v>
      </c>
      <c r="Q146" s="59">
        <v>0.0</v>
      </c>
      <c r="R146" s="59">
        <v>0.0</v>
      </c>
      <c r="S146" s="65">
        <f t="shared" si="3"/>
        <v>2120935022</v>
      </c>
      <c r="T146" s="78" t="s">
        <v>70</v>
      </c>
      <c r="U146" s="78" t="s">
        <v>70</v>
      </c>
      <c r="V146" s="75">
        <v>44406.0</v>
      </c>
      <c r="W146" s="76">
        <v>46002.0</v>
      </c>
      <c r="X146" s="76">
        <v>46387.0</v>
      </c>
      <c r="Y146" s="61">
        <v>0.0</v>
      </c>
      <c r="Z146" s="86">
        <v>0.0</v>
      </c>
      <c r="AA146" s="76">
        <v>46387.0</v>
      </c>
      <c r="AB146" s="27">
        <f t="shared" si="4"/>
        <v>205</v>
      </c>
      <c r="AC146" s="73">
        <v>0.0</v>
      </c>
      <c r="AD146" s="63">
        <v>0.0</v>
      </c>
      <c r="AE146" s="42">
        <f t="shared" si="16"/>
        <v>2120935022</v>
      </c>
      <c r="AF146" s="42">
        <v>0.0</v>
      </c>
      <c r="AG146" s="77">
        <f t="shared" si="13"/>
        <v>0</v>
      </c>
      <c r="AH146" s="77">
        <f t="shared" si="7"/>
        <v>0</v>
      </c>
      <c r="AI146" s="60" t="s">
        <v>741</v>
      </c>
      <c r="AJ146" s="38"/>
      <c r="AK146" s="31"/>
      <c r="AL146" s="38"/>
      <c r="AM146" s="39"/>
      <c r="AN146" s="39"/>
      <c r="AO146" s="39"/>
      <c r="AP146" s="34"/>
      <c r="AQ146" s="39"/>
      <c r="AR146" s="35"/>
      <c r="AS146" s="50"/>
      <c r="AT146" s="50"/>
      <c r="AU146" s="50"/>
    </row>
    <row r="147" ht="104.25" customHeight="1">
      <c r="A147" s="28">
        <v>2025.0</v>
      </c>
      <c r="B147" s="60" t="s">
        <v>253</v>
      </c>
      <c r="C147" s="15" t="s">
        <v>306</v>
      </c>
      <c r="D147" s="60" t="s">
        <v>48</v>
      </c>
      <c r="E147" s="37">
        <v>4.6000186392E10</v>
      </c>
      <c r="F147" s="60" t="s">
        <v>255</v>
      </c>
      <c r="G147" s="60" t="s">
        <v>255</v>
      </c>
      <c r="H147" s="60" t="s">
        <v>109</v>
      </c>
      <c r="I147" s="60" t="s">
        <v>742</v>
      </c>
      <c r="J147" s="60" t="s">
        <v>743</v>
      </c>
      <c r="K147" s="60">
        <v>4.0</v>
      </c>
      <c r="L147" s="73">
        <v>0.0</v>
      </c>
      <c r="M147" s="66">
        <v>435.28</v>
      </c>
      <c r="N147" s="42">
        <v>1.0E8</v>
      </c>
      <c r="O147" s="42">
        <v>8.9999335E7</v>
      </c>
      <c r="P147" s="64">
        <f t="shared" si="2"/>
        <v>189999335</v>
      </c>
      <c r="Q147" s="59">
        <v>0.0</v>
      </c>
      <c r="R147" s="59">
        <v>0.0</v>
      </c>
      <c r="S147" s="65">
        <f t="shared" si="3"/>
        <v>189999335</v>
      </c>
      <c r="T147" s="78" t="s">
        <v>53</v>
      </c>
      <c r="U147" s="78" t="s">
        <v>53</v>
      </c>
      <c r="V147" s="75">
        <v>44406.0</v>
      </c>
      <c r="W147" s="76">
        <v>45953.0</v>
      </c>
      <c r="X147" s="76">
        <v>46076.0</v>
      </c>
      <c r="Y147" s="61">
        <v>0.0</v>
      </c>
      <c r="Z147" s="86">
        <v>0.0</v>
      </c>
      <c r="AA147" s="76">
        <v>46076.0</v>
      </c>
      <c r="AB147" s="27">
        <f t="shared" si="4"/>
        <v>-106</v>
      </c>
      <c r="AC147" s="73">
        <v>0.0</v>
      </c>
      <c r="AD147" s="66">
        <v>435.28</v>
      </c>
      <c r="AE147" s="42">
        <f t="shared" si="16"/>
        <v>100000000</v>
      </c>
      <c r="AF147" s="42">
        <v>1.0E8</v>
      </c>
      <c r="AG147" s="77">
        <f>M147/AD147</f>
        <v>1</v>
      </c>
      <c r="AH147" s="77">
        <f t="shared" si="7"/>
        <v>1</v>
      </c>
      <c r="AI147" s="60" t="s">
        <v>462</v>
      </c>
      <c r="AJ147" s="38"/>
      <c r="AK147" s="31"/>
      <c r="AL147" s="38"/>
      <c r="AM147" s="39"/>
      <c r="AN147" s="39"/>
      <c r="AO147" s="39"/>
      <c r="AP147" s="34"/>
      <c r="AQ147" s="39"/>
      <c r="AR147" s="35"/>
      <c r="AS147" s="50"/>
      <c r="AT147" s="50"/>
      <c r="AU147" s="50"/>
    </row>
    <row r="148" ht="104.25" customHeight="1">
      <c r="A148" s="28">
        <v>2025.0</v>
      </c>
      <c r="B148" s="60" t="s">
        <v>513</v>
      </c>
      <c r="C148" s="15" t="s">
        <v>107</v>
      </c>
      <c r="D148" s="60" t="s">
        <v>48</v>
      </c>
      <c r="E148" s="37">
        <v>4.6000186768E10</v>
      </c>
      <c r="F148" s="60" t="s">
        <v>168</v>
      </c>
      <c r="G148" s="60" t="str">
        <f>F148</f>
        <v>CIUDAD BOLIVAR</v>
      </c>
      <c r="H148" s="60" t="s">
        <v>67</v>
      </c>
      <c r="I148" s="60" t="s">
        <v>744</v>
      </c>
      <c r="J148" s="60" t="s">
        <v>745</v>
      </c>
      <c r="K148" s="60">
        <v>1.5</v>
      </c>
      <c r="L148" s="73">
        <v>488.0</v>
      </c>
      <c r="M148" s="63">
        <v>0.0</v>
      </c>
      <c r="N148" s="42">
        <v>1.0E8</v>
      </c>
      <c r="O148" s="42">
        <v>1.5E7</v>
      </c>
      <c r="P148" s="64">
        <f t="shared" si="2"/>
        <v>115000000</v>
      </c>
      <c r="Q148" s="59">
        <v>0.0</v>
      </c>
      <c r="R148" s="59">
        <v>0.0</v>
      </c>
      <c r="S148" s="65">
        <f t="shared" si="3"/>
        <v>115000000</v>
      </c>
      <c r="T148" s="78" t="s">
        <v>53</v>
      </c>
      <c r="U148" s="78" t="s">
        <v>53</v>
      </c>
      <c r="V148" s="75">
        <v>44406.0</v>
      </c>
      <c r="W148" s="76">
        <v>46007.0</v>
      </c>
      <c r="X148" s="76">
        <v>46053.0</v>
      </c>
      <c r="Y148" s="61">
        <v>0.0</v>
      </c>
      <c r="Z148" s="86">
        <v>0.0</v>
      </c>
      <c r="AA148" s="76">
        <v>46053.0</v>
      </c>
      <c r="AB148" s="27">
        <f t="shared" si="4"/>
        <v>-129</v>
      </c>
      <c r="AC148" s="73">
        <v>488.0</v>
      </c>
      <c r="AD148" s="70">
        <v>0.0</v>
      </c>
      <c r="AE148" s="42">
        <f t="shared" si="16"/>
        <v>100000000</v>
      </c>
      <c r="AF148" s="42">
        <v>1.0E8</v>
      </c>
      <c r="AG148" s="77">
        <f>AC148/L148</f>
        <v>1</v>
      </c>
      <c r="AH148" s="77">
        <f t="shared" si="7"/>
        <v>1</v>
      </c>
      <c r="AI148" s="60" t="s">
        <v>746</v>
      </c>
      <c r="AJ148" s="38"/>
      <c r="AK148" s="31"/>
      <c r="AL148" s="38"/>
      <c r="AM148" s="39"/>
      <c r="AN148" s="39"/>
      <c r="AO148" s="39"/>
      <c r="AP148" s="34"/>
      <c r="AQ148" s="39"/>
      <c r="AR148" s="35"/>
      <c r="AS148" s="50"/>
      <c r="AT148" s="50"/>
      <c r="AU148" s="50"/>
    </row>
    <row r="149" ht="15.75" customHeight="1">
      <c r="D149" s="87"/>
      <c r="AB149" s="88"/>
      <c r="AK149" s="89"/>
    </row>
    <row r="150" ht="15.75" customHeight="1">
      <c r="D150" s="87"/>
      <c r="AB150" s="88"/>
      <c r="AK150" s="89"/>
    </row>
    <row r="151" ht="15.75" customHeight="1">
      <c r="D151" s="87"/>
      <c r="AB151" s="88"/>
      <c r="AK151" s="89"/>
    </row>
    <row r="152" ht="15.75" customHeight="1">
      <c r="D152" s="87"/>
      <c r="AB152" s="88"/>
      <c r="AK152" s="89"/>
    </row>
    <row r="153" ht="15.75" customHeight="1">
      <c r="D153" s="87"/>
      <c r="AB153" s="88"/>
      <c r="AK153" s="89"/>
    </row>
    <row r="154" ht="15.75" customHeight="1">
      <c r="D154" s="87"/>
      <c r="AB154" s="88"/>
      <c r="AK154" s="89"/>
    </row>
    <row r="155" ht="15.75" customHeight="1">
      <c r="D155" s="87"/>
      <c r="AB155" s="88"/>
      <c r="AK155" s="89"/>
    </row>
    <row r="156" ht="15.75" customHeight="1">
      <c r="D156" s="87"/>
      <c r="AB156" s="88"/>
      <c r="AK156" s="89"/>
    </row>
    <row r="157" ht="15.75" customHeight="1">
      <c r="D157" s="87"/>
      <c r="AB157" s="88"/>
      <c r="AK157" s="89"/>
    </row>
    <row r="158" ht="15.75" customHeight="1">
      <c r="D158" s="87"/>
      <c r="AB158" s="88"/>
      <c r="AK158" s="89"/>
    </row>
    <row r="159" ht="15.75" customHeight="1">
      <c r="D159" s="87"/>
      <c r="AB159" s="88"/>
      <c r="AK159" s="89"/>
    </row>
    <row r="160" ht="15.75" customHeight="1">
      <c r="D160" s="87"/>
      <c r="AB160" s="88"/>
      <c r="AK160" s="89"/>
    </row>
    <row r="161" ht="15.75" customHeight="1">
      <c r="D161" s="87"/>
      <c r="AB161" s="88"/>
      <c r="AK161" s="89"/>
    </row>
    <row r="162" ht="15.75" customHeight="1">
      <c r="D162" s="87"/>
      <c r="AB162" s="88"/>
      <c r="AK162" s="89"/>
    </row>
    <row r="163" ht="15.75" customHeight="1">
      <c r="D163" s="87"/>
      <c r="AB163" s="88"/>
      <c r="AK163" s="89"/>
    </row>
    <row r="164" ht="15.75" customHeight="1">
      <c r="D164" s="87"/>
      <c r="AB164" s="88"/>
      <c r="AK164" s="89"/>
    </row>
    <row r="165" ht="15.75" customHeight="1">
      <c r="D165" s="87"/>
      <c r="AB165" s="88"/>
      <c r="AK165" s="89"/>
    </row>
    <row r="166" ht="15.75" customHeight="1">
      <c r="D166" s="87"/>
      <c r="AB166" s="88"/>
      <c r="AK166" s="89"/>
    </row>
    <row r="167" ht="15.75" customHeight="1">
      <c r="D167" s="87"/>
      <c r="AB167" s="88"/>
      <c r="AK167" s="89"/>
    </row>
    <row r="168" ht="15.75" customHeight="1">
      <c r="D168" s="87"/>
      <c r="AB168" s="88"/>
      <c r="AK168" s="89"/>
    </row>
    <row r="169" ht="15.75" customHeight="1">
      <c r="D169" s="87"/>
      <c r="AB169" s="88"/>
      <c r="AK169" s="89"/>
    </row>
    <row r="170" ht="15.75" customHeight="1">
      <c r="D170" s="87"/>
      <c r="AB170" s="88"/>
      <c r="AK170" s="89"/>
    </row>
    <row r="171" ht="15.75" customHeight="1">
      <c r="D171" s="87"/>
      <c r="AB171" s="88"/>
      <c r="AK171" s="89"/>
    </row>
    <row r="172" ht="15.75" customHeight="1">
      <c r="D172" s="87"/>
      <c r="AB172" s="88"/>
      <c r="AK172" s="89"/>
    </row>
    <row r="173" ht="15.75" customHeight="1">
      <c r="D173" s="87"/>
      <c r="AB173" s="88"/>
      <c r="AK173" s="89"/>
    </row>
    <row r="174" ht="15.75" customHeight="1">
      <c r="D174" s="87"/>
      <c r="AB174" s="88"/>
      <c r="AK174" s="89"/>
    </row>
    <row r="175" ht="15.75" customHeight="1">
      <c r="D175" s="87"/>
      <c r="AB175" s="88"/>
      <c r="AK175" s="89"/>
    </row>
    <row r="176" ht="15.75" customHeight="1">
      <c r="D176" s="87"/>
      <c r="AB176" s="88"/>
      <c r="AK176" s="89"/>
    </row>
    <row r="177" ht="15.75" customHeight="1">
      <c r="D177" s="87"/>
      <c r="AB177" s="88"/>
      <c r="AK177" s="89"/>
    </row>
    <row r="178" ht="15.75" customHeight="1">
      <c r="D178" s="87"/>
      <c r="AB178" s="88"/>
      <c r="AK178" s="89"/>
    </row>
    <row r="179" ht="15.75" customHeight="1">
      <c r="D179" s="87"/>
      <c r="AB179" s="88"/>
      <c r="AK179" s="89"/>
    </row>
    <row r="180" ht="15.75" customHeight="1">
      <c r="D180" s="87"/>
      <c r="AB180" s="88"/>
      <c r="AK180" s="89"/>
    </row>
    <row r="181" ht="15.75" customHeight="1">
      <c r="D181" s="87"/>
      <c r="AB181" s="88"/>
      <c r="AK181" s="89"/>
    </row>
    <row r="182" ht="15.75" customHeight="1">
      <c r="D182" s="87"/>
      <c r="AB182" s="88"/>
      <c r="AK182" s="89"/>
    </row>
    <row r="183" ht="15.75" customHeight="1">
      <c r="D183" s="87"/>
      <c r="AB183" s="88"/>
      <c r="AK183" s="89"/>
    </row>
    <row r="184" ht="15.75" customHeight="1">
      <c r="D184" s="87"/>
      <c r="AB184" s="88"/>
      <c r="AK184" s="89"/>
    </row>
    <row r="185" ht="15.75" customHeight="1">
      <c r="D185" s="87"/>
      <c r="AB185" s="88"/>
      <c r="AK185" s="89"/>
    </row>
    <row r="186" ht="15.75" customHeight="1">
      <c r="D186" s="87"/>
      <c r="AB186" s="88"/>
      <c r="AK186" s="89"/>
    </row>
    <row r="187" ht="15.75" customHeight="1">
      <c r="D187" s="87"/>
      <c r="AB187" s="88"/>
      <c r="AK187" s="89"/>
    </row>
    <row r="188" ht="15.75" customHeight="1">
      <c r="D188" s="87"/>
      <c r="AB188" s="88"/>
      <c r="AK188" s="89"/>
    </row>
    <row r="189" ht="15.75" customHeight="1">
      <c r="D189" s="87"/>
      <c r="AB189" s="88"/>
      <c r="AK189" s="89"/>
    </row>
    <row r="190" ht="15.75" customHeight="1">
      <c r="D190" s="87"/>
      <c r="AB190" s="88"/>
      <c r="AK190" s="89"/>
    </row>
    <row r="191" ht="15.75" customHeight="1">
      <c r="D191" s="87"/>
      <c r="AB191" s="88"/>
      <c r="AK191" s="89"/>
    </row>
    <row r="192" ht="15.75" customHeight="1">
      <c r="D192" s="87"/>
      <c r="AB192" s="88"/>
      <c r="AK192" s="89"/>
    </row>
    <row r="193" ht="15.75" customHeight="1">
      <c r="D193" s="87"/>
      <c r="AB193" s="88"/>
      <c r="AK193" s="89"/>
    </row>
    <row r="194" ht="15.75" customHeight="1">
      <c r="D194" s="87"/>
      <c r="AB194" s="88"/>
      <c r="AK194" s="89"/>
    </row>
    <row r="195" ht="15.75" customHeight="1">
      <c r="D195" s="87"/>
      <c r="AB195" s="88"/>
      <c r="AK195" s="89"/>
    </row>
    <row r="196" ht="15.75" customHeight="1">
      <c r="D196" s="87"/>
      <c r="AB196" s="88"/>
      <c r="AK196" s="89"/>
    </row>
    <row r="197" ht="15.75" customHeight="1">
      <c r="D197" s="87"/>
      <c r="AB197" s="88"/>
      <c r="AK197" s="89"/>
    </row>
    <row r="198" ht="15.75" customHeight="1">
      <c r="D198" s="87"/>
      <c r="AB198" s="88"/>
      <c r="AK198" s="89"/>
    </row>
    <row r="199" ht="15.75" customHeight="1">
      <c r="D199" s="87"/>
      <c r="AB199" s="88"/>
      <c r="AK199" s="89"/>
    </row>
    <row r="200" ht="15.75" customHeight="1">
      <c r="D200" s="87"/>
      <c r="AB200" s="88"/>
      <c r="AK200" s="89"/>
    </row>
    <row r="201" ht="15.75" customHeight="1">
      <c r="D201" s="87"/>
      <c r="AB201" s="88"/>
      <c r="AK201" s="89"/>
    </row>
    <row r="202" ht="15.75" customHeight="1">
      <c r="D202" s="87"/>
      <c r="AB202" s="88"/>
      <c r="AK202" s="89"/>
    </row>
    <row r="203" ht="15.75" customHeight="1">
      <c r="D203" s="87"/>
      <c r="AB203" s="88"/>
      <c r="AK203" s="89"/>
    </row>
    <row r="204" ht="15.75" customHeight="1">
      <c r="D204" s="87"/>
      <c r="AB204" s="88"/>
      <c r="AK204" s="89"/>
    </row>
    <row r="205" ht="15.75" customHeight="1">
      <c r="D205" s="87"/>
      <c r="AB205" s="88"/>
      <c r="AK205" s="89"/>
    </row>
    <row r="206" ht="15.75" customHeight="1">
      <c r="D206" s="87"/>
      <c r="AB206" s="88"/>
      <c r="AK206" s="89"/>
    </row>
    <row r="207" ht="15.75" customHeight="1">
      <c r="D207" s="87"/>
      <c r="AB207" s="88"/>
      <c r="AK207" s="89"/>
    </row>
    <row r="208" ht="15.75" customHeight="1">
      <c r="D208" s="87"/>
      <c r="AB208" s="88"/>
      <c r="AK208" s="89"/>
    </row>
    <row r="209" ht="15.75" customHeight="1">
      <c r="D209" s="87"/>
      <c r="AB209" s="88"/>
      <c r="AK209" s="89"/>
    </row>
    <row r="210" ht="15.75" customHeight="1">
      <c r="D210" s="87"/>
      <c r="AB210" s="88"/>
      <c r="AK210" s="89"/>
    </row>
    <row r="211" ht="15.75" customHeight="1">
      <c r="D211" s="87"/>
      <c r="AB211" s="88"/>
      <c r="AK211" s="89"/>
    </row>
    <row r="212" ht="15.75" customHeight="1">
      <c r="D212" s="87"/>
      <c r="AB212" s="88"/>
      <c r="AK212" s="89"/>
    </row>
    <row r="213" ht="15.75" customHeight="1">
      <c r="D213" s="87"/>
      <c r="AB213" s="88"/>
      <c r="AK213" s="89"/>
    </row>
    <row r="214" ht="15.75" customHeight="1">
      <c r="D214" s="87"/>
      <c r="AB214" s="88"/>
      <c r="AK214" s="89"/>
    </row>
    <row r="215" ht="15.75" customHeight="1">
      <c r="D215" s="87"/>
      <c r="AB215" s="88"/>
      <c r="AK215" s="89"/>
    </row>
    <row r="216" ht="15.75" customHeight="1">
      <c r="D216" s="87"/>
      <c r="AB216" s="88"/>
      <c r="AK216" s="89"/>
    </row>
    <row r="217" ht="15.75" customHeight="1">
      <c r="D217" s="87"/>
      <c r="AB217" s="88"/>
      <c r="AK217" s="89"/>
    </row>
    <row r="218" ht="15.75" customHeight="1">
      <c r="D218" s="87"/>
      <c r="AB218" s="88"/>
      <c r="AK218" s="89"/>
    </row>
    <row r="219" ht="15.75" customHeight="1">
      <c r="D219" s="87"/>
      <c r="AB219" s="88"/>
      <c r="AK219" s="89"/>
    </row>
    <row r="220" ht="15.75" customHeight="1">
      <c r="D220" s="87"/>
      <c r="AB220" s="88"/>
      <c r="AK220" s="89"/>
    </row>
    <row r="221" ht="15.75" customHeight="1">
      <c r="D221" s="87"/>
      <c r="AB221" s="88"/>
      <c r="AK221" s="89"/>
    </row>
    <row r="222" ht="15.75" customHeight="1">
      <c r="D222" s="87"/>
      <c r="AB222" s="88"/>
      <c r="AK222" s="89"/>
    </row>
    <row r="223" ht="15.75" customHeight="1">
      <c r="D223" s="87"/>
      <c r="AB223" s="88"/>
      <c r="AK223" s="89"/>
    </row>
    <row r="224" ht="15.75" customHeight="1">
      <c r="D224" s="87"/>
      <c r="AB224" s="88"/>
      <c r="AK224" s="89"/>
    </row>
    <row r="225" ht="15.75" customHeight="1">
      <c r="D225" s="87"/>
      <c r="AB225" s="88"/>
      <c r="AK225" s="89"/>
    </row>
    <row r="226" ht="15.75" customHeight="1">
      <c r="D226" s="87"/>
      <c r="AB226" s="88"/>
      <c r="AK226" s="89"/>
    </row>
    <row r="227" ht="15.75" customHeight="1">
      <c r="D227" s="87"/>
      <c r="AB227" s="88"/>
      <c r="AK227" s="89"/>
    </row>
    <row r="228" ht="15.75" customHeight="1">
      <c r="D228" s="87"/>
      <c r="AB228" s="88"/>
      <c r="AK228" s="89"/>
    </row>
    <row r="229" ht="15.75" customHeight="1">
      <c r="D229" s="87"/>
      <c r="AB229" s="88"/>
      <c r="AK229" s="89"/>
    </row>
    <row r="230" ht="15.75" customHeight="1">
      <c r="D230" s="87"/>
      <c r="AB230" s="88"/>
      <c r="AK230" s="89"/>
    </row>
    <row r="231" ht="15.75" customHeight="1">
      <c r="D231" s="87"/>
      <c r="AB231" s="88"/>
      <c r="AK231" s="89"/>
    </row>
    <row r="232" ht="15.75" customHeight="1">
      <c r="D232" s="87"/>
      <c r="AB232" s="88"/>
      <c r="AK232" s="89"/>
    </row>
    <row r="233" ht="15.75" customHeight="1">
      <c r="D233" s="87"/>
      <c r="AB233" s="88"/>
      <c r="AK233" s="89"/>
    </row>
    <row r="234" ht="15.75" customHeight="1">
      <c r="D234" s="87"/>
      <c r="AB234" s="88"/>
      <c r="AK234" s="89"/>
    </row>
    <row r="235" ht="15.75" customHeight="1">
      <c r="D235" s="87"/>
      <c r="AB235" s="88"/>
      <c r="AK235" s="89"/>
    </row>
    <row r="236" ht="15.75" customHeight="1">
      <c r="D236" s="87"/>
      <c r="AB236" s="88"/>
      <c r="AK236" s="89"/>
    </row>
    <row r="237" ht="15.75" customHeight="1">
      <c r="D237" s="87"/>
      <c r="AB237" s="88"/>
      <c r="AK237" s="89"/>
    </row>
    <row r="238" ht="15.75" customHeight="1">
      <c r="D238" s="87"/>
      <c r="AB238" s="88"/>
      <c r="AK238" s="89"/>
    </row>
    <row r="239" ht="15.75" customHeight="1">
      <c r="D239" s="87"/>
      <c r="AB239" s="88"/>
      <c r="AK239" s="89"/>
    </row>
    <row r="240" ht="15.75" customHeight="1">
      <c r="D240" s="87"/>
      <c r="AB240" s="88"/>
      <c r="AK240" s="89"/>
    </row>
    <row r="241" ht="15.75" customHeight="1">
      <c r="D241" s="87"/>
      <c r="AB241" s="88"/>
      <c r="AK241" s="89"/>
    </row>
    <row r="242" ht="15.75" customHeight="1">
      <c r="D242" s="87"/>
      <c r="AB242" s="88"/>
      <c r="AK242" s="89"/>
    </row>
    <row r="243" ht="15.75" customHeight="1">
      <c r="D243" s="87"/>
      <c r="AB243" s="88"/>
      <c r="AK243" s="89"/>
    </row>
    <row r="244" ht="15.75" customHeight="1">
      <c r="D244" s="87"/>
      <c r="AB244" s="88"/>
      <c r="AK244" s="89"/>
    </row>
    <row r="245" ht="15.75" customHeight="1">
      <c r="D245" s="87"/>
      <c r="AB245" s="88"/>
      <c r="AK245" s="89"/>
    </row>
    <row r="246" ht="15.75" customHeight="1">
      <c r="D246" s="87"/>
      <c r="AB246" s="88"/>
      <c r="AK246" s="89"/>
    </row>
    <row r="247" ht="15.75" customHeight="1">
      <c r="D247" s="87"/>
      <c r="AB247" s="88"/>
      <c r="AK247" s="89"/>
    </row>
    <row r="248" ht="15.75" customHeight="1">
      <c r="D248" s="87"/>
      <c r="AB248" s="88"/>
      <c r="AK248" s="89"/>
    </row>
    <row r="249" ht="15.75" customHeight="1">
      <c r="D249" s="87"/>
      <c r="AB249" s="88"/>
      <c r="AK249" s="89"/>
    </row>
    <row r="250" ht="15.75" customHeight="1">
      <c r="D250" s="87"/>
      <c r="AB250" s="88"/>
      <c r="AK250" s="89"/>
    </row>
    <row r="251" ht="15.75" customHeight="1">
      <c r="D251" s="87"/>
      <c r="AB251" s="88"/>
      <c r="AK251" s="89"/>
    </row>
    <row r="252" ht="15.75" customHeight="1">
      <c r="D252" s="87"/>
      <c r="AB252" s="88"/>
      <c r="AK252" s="89"/>
    </row>
    <row r="253" ht="15.75" customHeight="1">
      <c r="D253" s="87"/>
      <c r="AB253" s="88"/>
      <c r="AK253" s="89"/>
    </row>
    <row r="254" ht="15.75" customHeight="1">
      <c r="D254" s="87"/>
      <c r="AB254" s="88"/>
      <c r="AK254" s="89"/>
    </row>
    <row r="255" ht="15.75" customHeight="1">
      <c r="D255" s="87"/>
      <c r="AB255" s="88"/>
      <c r="AK255" s="89"/>
    </row>
    <row r="256" ht="15.75" customHeight="1">
      <c r="D256" s="87"/>
      <c r="AB256" s="88"/>
      <c r="AK256" s="89"/>
    </row>
    <row r="257" ht="15.75" customHeight="1">
      <c r="D257" s="87"/>
      <c r="AB257" s="88"/>
      <c r="AK257" s="89"/>
    </row>
    <row r="258" ht="15.75" customHeight="1">
      <c r="D258" s="87"/>
      <c r="AB258" s="88"/>
      <c r="AK258" s="89"/>
    </row>
    <row r="259" ht="15.75" customHeight="1">
      <c r="D259" s="87"/>
      <c r="AB259" s="88"/>
      <c r="AK259" s="89"/>
    </row>
    <row r="260" ht="15.75" customHeight="1">
      <c r="D260" s="87"/>
      <c r="AB260" s="88"/>
      <c r="AK260" s="89"/>
    </row>
    <row r="261" ht="15.75" customHeight="1">
      <c r="D261" s="87"/>
      <c r="AB261" s="88"/>
      <c r="AK261" s="89"/>
    </row>
    <row r="262" ht="15.75" customHeight="1">
      <c r="D262" s="87"/>
      <c r="AB262" s="88"/>
      <c r="AK262" s="89"/>
    </row>
    <row r="263" ht="15.75" customHeight="1">
      <c r="D263" s="87"/>
      <c r="AB263" s="88"/>
      <c r="AK263" s="89"/>
    </row>
    <row r="264" ht="15.75" customHeight="1">
      <c r="D264" s="87"/>
      <c r="AB264" s="88"/>
      <c r="AK264" s="89"/>
    </row>
    <row r="265" ht="15.75" customHeight="1">
      <c r="D265" s="87"/>
      <c r="AB265" s="88"/>
      <c r="AK265" s="89"/>
    </row>
    <row r="266" ht="15.75" customHeight="1">
      <c r="D266" s="87"/>
      <c r="AB266" s="88"/>
      <c r="AK266" s="89"/>
    </row>
    <row r="267" ht="15.75" customHeight="1">
      <c r="D267" s="87"/>
      <c r="AB267" s="88"/>
      <c r="AK267" s="89"/>
    </row>
    <row r="268" ht="15.75" customHeight="1">
      <c r="D268" s="87"/>
      <c r="AB268" s="88"/>
      <c r="AK268" s="89"/>
    </row>
    <row r="269" ht="15.75" customHeight="1">
      <c r="D269" s="87"/>
      <c r="AB269" s="88"/>
      <c r="AK269" s="89"/>
    </row>
    <row r="270" ht="15.75" customHeight="1">
      <c r="D270" s="87"/>
      <c r="AB270" s="88"/>
      <c r="AK270" s="89"/>
    </row>
    <row r="271" ht="15.75" customHeight="1">
      <c r="D271" s="87"/>
      <c r="AB271" s="88"/>
      <c r="AK271" s="89"/>
    </row>
    <row r="272" ht="15.75" customHeight="1">
      <c r="D272" s="87"/>
      <c r="AB272" s="88"/>
      <c r="AK272" s="89"/>
    </row>
    <row r="273" ht="15.75" customHeight="1">
      <c r="D273" s="87"/>
      <c r="AB273" s="88"/>
      <c r="AK273" s="89"/>
    </row>
    <row r="274" ht="15.75" customHeight="1">
      <c r="D274" s="87"/>
      <c r="AB274" s="88"/>
      <c r="AK274" s="89"/>
    </row>
    <row r="275" ht="15.75" customHeight="1">
      <c r="D275" s="87"/>
      <c r="AB275" s="88"/>
      <c r="AK275" s="89"/>
    </row>
    <row r="276" ht="15.75" customHeight="1">
      <c r="D276" s="87"/>
      <c r="AB276" s="88"/>
      <c r="AK276" s="89"/>
    </row>
    <row r="277" ht="15.75" customHeight="1">
      <c r="D277" s="87"/>
      <c r="AB277" s="88"/>
      <c r="AK277" s="89"/>
    </row>
    <row r="278" ht="15.75" customHeight="1">
      <c r="D278" s="87"/>
      <c r="AB278" s="88"/>
      <c r="AK278" s="89"/>
    </row>
    <row r="279" ht="15.75" customHeight="1">
      <c r="D279" s="87"/>
      <c r="AB279" s="88"/>
      <c r="AK279" s="89"/>
    </row>
    <row r="280" ht="15.75" customHeight="1">
      <c r="D280" s="87"/>
      <c r="AB280" s="88"/>
      <c r="AK280" s="89"/>
    </row>
    <row r="281" ht="15.75" customHeight="1">
      <c r="D281" s="87"/>
      <c r="AB281" s="88"/>
      <c r="AK281" s="89"/>
    </row>
    <row r="282" ht="15.75" customHeight="1">
      <c r="D282" s="87"/>
      <c r="AB282" s="88"/>
      <c r="AK282" s="89"/>
    </row>
    <row r="283" ht="15.75" customHeight="1">
      <c r="D283" s="87"/>
      <c r="AB283" s="88"/>
      <c r="AK283" s="89"/>
    </row>
    <row r="284" ht="15.75" customHeight="1">
      <c r="D284" s="87"/>
      <c r="AB284" s="88"/>
      <c r="AK284" s="89"/>
    </row>
    <row r="285" ht="15.75" customHeight="1">
      <c r="D285" s="87"/>
      <c r="AB285" s="88"/>
      <c r="AK285" s="89"/>
    </row>
    <row r="286" ht="15.75" customHeight="1">
      <c r="D286" s="87"/>
      <c r="AB286" s="88"/>
      <c r="AK286" s="89"/>
    </row>
    <row r="287" ht="15.75" customHeight="1">
      <c r="D287" s="87"/>
      <c r="AB287" s="88"/>
      <c r="AK287" s="89"/>
    </row>
    <row r="288" ht="15.75" customHeight="1">
      <c r="D288" s="87"/>
      <c r="AB288" s="88"/>
      <c r="AK288" s="89"/>
    </row>
    <row r="289" ht="15.75" customHeight="1">
      <c r="D289" s="87"/>
      <c r="AB289" s="88"/>
      <c r="AK289" s="89"/>
    </row>
    <row r="290" ht="15.75" customHeight="1">
      <c r="D290" s="87"/>
      <c r="AB290" s="88"/>
      <c r="AK290" s="89"/>
    </row>
    <row r="291" ht="15.75" customHeight="1">
      <c r="D291" s="87"/>
      <c r="AB291" s="88"/>
      <c r="AK291" s="89"/>
    </row>
    <row r="292" ht="15.75" customHeight="1">
      <c r="D292" s="87"/>
      <c r="AB292" s="88"/>
      <c r="AK292" s="89"/>
    </row>
    <row r="293" ht="15.75" customHeight="1">
      <c r="D293" s="87"/>
      <c r="AB293" s="88"/>
      <c r="AK293" s="89"/>
    </row>
    <row r="294" ht="15.75" customHeight="1">
      <c r="D294" s="87"/>
      <c r="AB294" s="88"/>
      <c r="AK294" s="89"/>
    </row>
    <row r="295" ht="15.75" customHeight="1">
      <c r="D295" s="87"/>
      <c r="AB295" s="88"/>
      <c r="AK295" s="89"/>
    </row>
    <row r="296" ht="15.75" customHeight="1">
      <c r="D296" s="87"/>
      <c r="AB296" s="88"/>
      <c r="AK296" s="89"/>
    </row>
    <row r="297" ht="15.75" customHeight="1">
      <c r="D297" s="87"/>
      <c r="AB297" s="88"/>
      <c r="AK297" s="89"/>
    </row>
    <row r="298" ht="15.75" customHeight="1">
      <c r="D298" s="87"/>
      <c r="AB298" s="88"/>
      <c r="AK298" s="89"/>
    </row>
    <row r="299" ht="15.75" customHeight="1">
      <c r="D299" s="87"/>
      <c r="AB299" s="88"/>
      <c r="AK299" s="89"/>
    </row>
    <row r="300" ht="15.75" customHeight="1">
      <c r="D300" s="87"/>
      <c r="AB300" s="88"/>
      <c r="AK300" s="89"/>
    </row>
    <row r="301" ht="15.75" customHeight="1">
      <c r="D301" s="87"/>
      <c r="AB301" s="88"/>
      <c r="AK301" s="89"/>
    </row>
    <row r="302" ht="15.75" customHeight="1">
      <c r="D302" s="87"/>
      <c r="AB302" s="88"/>
      <c r="AK302" s="89"/>
    </row>
    <row r="303" ht="15.75" customHeight="1">
      <c r="D303" s="87"/>
      <c r="AB303" s="88"/>
      <c r="AK303" s="89"/>
    </row>
    <row r="304" ht="15.75" customHeight="1">
      <c r="D304" s="87"/>
      <c r="AB304" s="88"/>
      <c r="AK304" s="89"/>
    </row>
    <row r="305" ht="15.75" customHeight="1">
      <c r="D305" s="87"/>
      <c r="AB305" s="88"/>
      <c r="AK305" s="89"/>
    </row>
    <row r="306" ht="15.75" customHeight="1">
      <c r="D306" s="87"/>
      <c r="AB306" s="88"/>
      <c r="AK306" s="89"/>
    </row>
    <row r="307" ht="15.75" customHeight="1">
      <c r="D307" s="87"/>
      <c r="AB307" s="88"/>
      <c r="AK307" s="89"/>
    </row>
    <row r="308" ht="15.75" customHeight="1">
      <c r="D308" s="87"/>
      <c r="AB308" s="88"/>
      <c r="AK308" s="89"/>
    </row>
    <row r="309" ht="15.75" customHeight="1">
      <c r="D309" s="87"/>
      <c r="AB309" s="88"/>
      <c r="AK309" s="89"/>
    </row>
    <row r="310" ht="15.75" customHeight="1">
      <c r="D310" s="87"/>
      <c r="AB310" s="88"/>
      <c r="AK310" s="89"/>
    </row>
    <row r="311" ht="15.75" customHeight="1">
      <c r="D311" s="87"/>
      <c r="AB311" s="88"/>
      <c r="AK311" s="89"/>
    </row>
    <row r="312" ht="15.75" customHeight="1">
      <c r="D312" s="87"/>
      <c r="AB312" s="88"/>
      <c r="AK312" s="89"/>
    </row>
    <row r="313" ht="15.75" customHeight="1">
      <c r="D313" s="87"/>
      <c r="AB313" s="88"/>
      <c r="AK313" s="89"/>
    </row>
    <row r="314" ht="15.75" customHeight="1">
      <c r="D314" s="87"/>
      <c r="AB314" s="88"/>
      <c r="AK314" s="89"/>
    </row>
    <row r="315" ht="15.75" customHeight="1">
      <c r="D315" s="87"/>
      <c r="AB315" s="88"/>
      <c r="AK315" s="89"/>
    </row>
    <row r="316" ht="15.75" customHeight="1">
      <c r="D316" s="87"/>
      <c r="AB316" s="88"/>
      <c r="AK316" s="89"/>
    </row>
    <row r="317" ht="15.75" customHeight="1">
      <c r="D317" s="87"/>
      <c r="AB317" s="88"/>
      <c r="AK317" s="89"/>
    </row>
    <row r="318" ht="15.75" customHeight="1">
      <c r="D318" s="87"/>
      <c r="AB318" s="88"/>
      <c r="AK318" s="89"/>
    </row>
    <row r="319" ht="15.75" customHeight="1">
      <c r="D319" s="87"/>
      <c r="AB319" s="88"/>
      <c r="AK319" s="89"/>
    </row>
    <row r="320" ht="15.75" customHeight="1">
      <c r="D320" s="87"/>
      <c r="AB320" s="88"/>
      <c r="AK320" s="89"/>
    </row>
    <row r="321" ht="15.75" customHeight="1">
      <c r="D321" s="87"/>
      <c r="AB321" s="88"/>
      <c r="AK321" s="89"/>
    </row>
    <row r="322" ht="15.75" customHeight="1">
      <c r="D322" s="87"/>
      <c r="AB322" s="88"/>
      <c r="AK322" s="89"/>
    </row>
    <row r="323" ht="15.75" customHeight="1">
      <c r="D323" s="87"/>
      <c r="AB323" s="88"/>
      <c r="AK323" s="89"/>
    </row>
    <row r="324" ht="15.75" customHeight="1">
      <c r="D324" s="87"/>
      <c r="AB324" s="88"/>
      <c r="AK324" s="89"/>
    </row>
    <row r="325" ht="15.75" customHeight="1">
      <c r="D325" s="87"/>
      <c r="AB325" s="88"/>
      <c r="AK325" s="89"/>
    </row>
    <row r="326" ht="15.75" customHeight="1">
      <c r="D326" s="87"/>
      <c r="AB326" s="88"/>
      <c r="AK326" s="89"/>
    </row>
    <row r="327" ht="15.75" customHeight="1">
      <c r="D327" s="87"/>
      <c r="AB327" s="88"/>
      <c r="AK327" s="89"/>
    </row>
    <row r="328" ht="15.75" customHeight="1">
      <c r="D328" s="87"/>
      <c r="AB328" s="88"/>
      <c r="AK328" s="89"/>
    </row>
    <row r="329" ht="15.75" customHeight="1">
      <c r="D329" s="87"/>
      <c r="AB329" s="88"/>
      <c r="AK329" s="89"/>
    </row>
    <row r="330" ht="15.75" customHeight="1">
      <c r="D330" s="87"/>
      <c r="AB330" s="88"/>
      <c r="AK330" s="89"/>
    </row>
    <row r="331" ht="15.75" customHeight="1">
      <c r="D331" s="87"/>
      <c r="AB331" s="88"/>
      <c r="AK331" s="89"/>
    </row>
    <row r="332" ht="15.75" customHeight="1">
      <c r="D332" s="87"/>
      <c r="AB332" s="88"/>
      <c r="AK332" s="89"/>
    </row>
    <row r="333" ht="15.75" customHeight="1">
      <c r="D333" s="87"/>
      <c r="AB333" s="88"/>
      <c r="AK333" s="89"/>
    </row>
    <row r="334" ht="15.75" customHeight="1">
      <c r="D334" s="87"/>
      <c r="AB334" s="88"/>
      <c r="AK334" s="89"/>
    </row>
    <row r="335" ht="15.75" customHeight="1">
      <c r="D335" s="87"/>
      <c r="AB335" s="88"/>
      <c r="AK335" s="89"/>
    </row>
    <row r="336" ht="15.75" customHeight="1">
      <c r="D336" s="87"/>
      <c r="AB336" s="88"/>
      <c r="AK336" s="89"/>
    </row>
    <row r="337" ht="15.75" customHeight="1">
      <c r="D337" s="87"/>
      <c r="AB337" s="88"/>
      <c r="AK337" s="89"/>
    </row>
    <row r="338" ht="15.75" customHeight="1">
      <c r="D338" s="87"/>
      <c r="AB338" s="88"/>
      <c r="AK338" s="89"/>
    </row>
    <row r="339" ht="15.75" customHeight="1">
      <c r="D339" s="87"/>
      <c r="AB339" s="88"/>
      <c r="AK339" s="89"/>
    </row>
    <row r="340" ht="15.75" customHeight="1">
      <c r="D340" s="87"/>
      <c r="AB340" s="88"/>
      <c r="AK340" s="89"/>
    </row>
    <row r="341" ht="15.75" customHeight="1">
      <c r="D341" s="87"/>
      <c r="AB341" s="88"/>
      <c r="AK341" s="89"/>
    </row>
    <row r="342" ht="15.75" customHeight="1">
      <c r="D342" s="87"/>
      <c r="AB342" s="88"/>
      <c r="AK342" s="89"/>
    </row>
    <row r="343" ht="15.75" customHeight="1">
      <c r="D343" s="87"/>
      <c r="AB343" s="88"/>
      <c r="AK343" s="89"/>
    </row>
    <row r="344" ht="15.75" customHeight="1">
      <c r="D344" s="87"/>
      <c r="AB344" s="88"/>
      <c r="AK344" s="89"/>
    </row>
    <row r="345" ht="15.75" customHeight="1">
      <c r="D345" s="87"/>
      <c r="AB345" s="88"/>
      <c r="AK345" s="89"/>
    </row>
    <row r="346" ht="15.75" customHeight="1">
      <c r="D346" s="87"/>
      <c r="AB346" s="88"/>
      <c r="AK346" s="89"/>
    </row>
    <row r="347" ht="15.75" customHeight="1">
      <c r="D347" s="87"/>
      <c r="AB347" s="88"/>
      <c r="AK347" s="89"/>
    </row>
    <row r="348" ht="15.75" customHeight="1">
      <c r="D348" s="87"/>
      <c r="AB348" s="88"/>
      <c r="AK348" s="89"/>
    </row>
    <row r="349" ht="15.75" customHeight="1">
      <c r="D349" s="87"/>
      <c r="AB349" s="88"/>
      <c r="AK349" s="89"/>
    </row>
    <row r="350" ht="15.75" customHeight="1">
      <c r="D350" s="87"/>
      <c r="AB350" s="88"/>
      <c r="AK350" s="89"/>
    </row>
    <row r="351" ht="15.75" customHeight="1">
      <c r="D351" s="87"/>
      <c r="AB351" s="88"/>
      <c r="AK351" s="89"/>
    </row>
    <row r="352" ht="15.75" customHeight="1">
      <c r="D352" s="87"/>
      <c r="AB352" s="88"/>
      <c r="AK352" s="89"/>
    </row>
    <row r="353" ht="15.75" customHeight="1">
      <c r="D353" s="87"/>
      <c r="AB353" s="88"/>
      <c r="AK353" s="89"/>
    </row>
    <row r="354" ht="15.75" customHeight="1">
      <c r="D354" s="87"/>
      <c r="AB354" s="88"/>
      <c r="AK354" s="89"/>
    </row>
    <row r="355" ht="15.75" customHeight="1">
      <c r="D355" s="87"/>
      <c r="AB355" s="88"/>
      <c r="AK355" s="89"/>
    </row>
    <row r="356" ht="15.75" customHeight="1">
      <c r="D356" s="87"/>
      <c r="AB356" s="88"/>
      <c r="AK356" s="89"/>
    </row>
    <row r="357" ht="15.75" customHeight="1">
      <c r="D357" s="87"/>
      <c r="AB357" s="88"/>
      <c r="AK357" s="89"/>
    </row>
    <row r="358" ht="15.75" customHeight="1">
      <c r="D358" s="87"/>
      <c r="AB358" s="88"/>
      <c r="AK358" s="89"/>
    </row>
    <row r="359" ht="15.75" customHeight="1">
      <c r="D359" s="87"/>
      <c r="AB359" s="88"/>
      <c r="AK359" s="89"/>
    </row>
    <row r="360" ht="15.75" customHeight="1">
      <c r="D360" s="87"/>
      <c r="AB360" s="88"/>
      <c r="AK360" s="89"/>
    </row>
    <row r="361" ht="15.75" customHeight="1">
      <c r="D361" s="87"/>
      <c r="AB361" s="88"/>
      <c r="AK361" s="89"/>
    </row>
    <row r="362" ht="15.75" customHeight="1">
      <c r="D362" s="87"/>
      <c r="AB362" s="88"/>
      <c r="AK362" s="89"/>
    </row>
    <row r="363" ht="15.75" customHeight="1">
      <c r="D363" s="87"/>
      <c r="AB363" s="88"/>
      <c r="AK363" s="89"/>
    </row>
    <row r="364" ht="15.75" customHeight="1">
      <c r="D364" s="87"/>
      <c r="AB364" s="88"/>
      <c r="AK364" s="89"/>
    </row>
    <row r="365" ht="15.75" customHeight="1">
      <c r="D365" s="87"/>
      <c r="AB365" s="88"/>
      <c r="AK365" s="89"/>
    </row>
    <row r="366" ht="15.75" customHeight="1">
      <c r="D366" s="87"/>
      <c r="AB366" s="88"/>
      <c r="AK366" s="89"/>
    </row>
    <row r="367" ht="15.75" customHeight="1">
      <c r="D367" s="87"/>
      <c r="AB367" s="88"/>
      <c r="AK367" s="89"/>
    </row>
    <row r="368" ht="15.75" customHeight="1">
      <c r="D368" s="87"/>
      <c r="AB368" s="88"/>
      <c r="AK368" s="89"/>
    </row>
    <row r="369" ht="15.75" customHeight="1">
      <c r="D369" s="87"/>
      <c r="AB369" s="88"/>
      <c r="AK369" s="89"/>
    </row>
    <row r="370" ht="15.75" customHeight="1">
      <c r="D370" s="87"/>
      <c r="AB370" s="88"/>
      <c r="AK370" s="89"/>
    </row>
    <row r="371" ht="15.75" customHeight="1">
      <c r="D371" s="87"/>
      <c r="AB371" s="88"/>
      <c r="AK371" s="89"/>
    </row>
    <row r="372" ht="15.75" customHeight="1">
      <c r="D372" s="87"/>
      <c r="AB372" s="88"/>
      <c r="AK372" s="89"/>
    </row>
    <row r="373" ht="15.75" customHeight="1">
      <c r="D373" s="87"/>
      <c r="AB373" s="88"/>
      <c r="AK373" s="89"/>
    </row>
    <row r="374" ht="15.75" customHeight="1">
      <c r="D374" s="87"/>
      <c r="AB374" s="88"/>
      <c r="AK374" s="89"/>
    </row>
    <row r="375" ht="15.75" customHeight="1">
      <c r="D375" s="87"/>
      <c r="AB375" s="88"/>
      <c r="AK375" s="89"/>
    </row>
    <row r="376" ht="15.75" customHeight="1">
      <c r="D376" s="87"/>
      <c r="AB376" s="88"/>
      <c r="AK376" s="89"/>
    </row>
    <row r="377" ht="15.75" customHeight="1">
      <c r="D377" s="87"/>
      <c r="AB377" s="88"/>
      <c r="AK377" s="89"/>
    </row>
    <row r="378" ht="15.75" customHeight="1">
      <c r="D378" s="87"/>
      <c r="AB378" s="88"/>
      <c r="AK378" s="89"/>
    </row>
    <row r="379" ht="15.75" customHeight="1">
      <c r="D379" s="87"/>
      <c r="AB379" s="88"/>
      <c r="AK379" s="89"/>
    </row>
    <row r="380" ht="15.75" customHeight="1">
      <c r="D380" s="87"/>
      <c r="AB380" s="88"/>
      <c r="AK380" s="89"/>
    </row>
    <row r="381" ht="15.75" customHeight="1">
      <c r="D381" s="87"/>
      <c r="AB381" s="88"/>
      <c r="AK381" s="89"/>
    </row>
    <row r="382" ht="15.75" customHeight="1">
      <c r="D382" s="87"/>
      <c r="AB382" s="88"/>
      <c r="AK382" s="89"/>
    </row>
    <row r="383" ht="15.75" customHeight="1">
      <c r="D383" s="87"/>
      <c r="AB383" s="88"/>
      <c r="AK383" s="89"/>
    </row>
    <row r="384" ht="15.75" customHeight="1">
      <c r="D384" s="87"/>
      <c r="AB384" s="88"/>
      <c r="AK384" s="89"/>
    </row>
    <row r="385" ht="15.75" customHeight="1">
      <c r="D385" s="87"/>
      <c r="AB385" s="88"/>
      <c r="AK385" s="89"/>
    </row>
    <row r="386" ht="15.75" customHeight="1">
      <c r="D386" s="87"/>
      <c r="AB386" s="88"/>
      <c r="AK386" s="89"/>
    </row>
    <row r="387" ht="15.75" customHeight="1">
      <c r="D387" s="87"/>
      <c r="AB387" s="88"/>
      <c r="AK387" s="89"/>
    </row>
    <row r="388" ht="15.75" customHeight="1">
      <c r="D388" s="87"/>
      <c r="AB388" s="88"/>
      <c r="AK388" s="89"/>
    </row>
    <row r="389" ht="15.75" customHeight="1">
      <c r="D389" s="87"/>
      <c r="AB389" s="88"/>
      <c r="AK389" s="89"/>
    </row>
    <row r="390" ht="15.75" customHeight="1">
      <c r="D390" s="87"/>
      <c r="AB390" s="88"/>
      <c r="AK390" s="89"/>
    </row>
    <row r="391" ht="15.75" customHeight="1">
      <c r="D391" s="87"/>
      <c r="AB391" s="88"/>
      <c r="AK391" s="89"/>
    </row>
    <row r="392" ht="15.75" customHeight="1">
      <c r="D392" s="87"/>
      <c r="AB392" s="88"/>
      <c r="AK392" s="89"/>
    </row>
    <row r="393" ht="15.75" customHeight="1">
      <c r="D393" s="87"/>
      <c r="AB393" s="88"/>
      <c r="AK393" s="89"/>
    </row>
    <row r="394" ht="15.75" customHeight="1">
      <c r="D394" s="87"/>
      <c r="AB394" s="88"/>
      <c r="AK394" s="89"/>
    </row>
    <row r="395" ht="15.75" customHeight="1">
      <c r="D395" s="87"/>
      <c r="AB395" s="88"/>
      <c r="AK395" s="89"/>
    </row>
    <row r="396" ht="15.75" customHeight="1">
      <c r="D396" s="87"/>
      <c r="AB396" s="88"/>
      <c r="AK396" s="89"/>
    </row>
    <row r="397" ht="15.75" customHeight="1">
      <c r="D397" s="87"/>
      <c r="AB397" s="88"/>
      <c r="AK397" s="89"/>
    </row>
    <row r="398" ht="15.75" customHeight="1">
      <c r="D398" s="87"/>
      <c r="AB398" s="88"/>
      <c r="AK398" s="89"/>
    </row>
    <row r="399" ht="15.75" customHeight="1">
      <c r="D399" s="87"/>
      <c r="AB399" s="88"/>
      <c r="AK399" s="89"/>
    </row>
    <row r="400" ht="15.75" customHeight="1">
      <c r="D400" s="87"/>
      <c r="AB400" s="88"/>
      <c r="AK400" s="89"/>
    </row>
    <row r="401" ht="15.75" customHeight="1">
      <c r="D401" s="87"/>
      <c r="AB401" s="88"/>
      <c r="AK401" s="89"/>
    </row>
    <row r="402" ht="15.75" customHeight="1">
      <c r="D402" s="87"/>
      <c r="AB402" s="88"/>
      <c r="AK402" s="89"/>
    </row>
    <row r="403" ht="15.75" customHeight="1">
      <c r="D403" s="87"/>
      <c r="AB403" s="88"/>
      <c r="AK403" s="89"/>
    </row>
    <row r="404" ht="15.75" customHeight="1">
      <c r="D404" s="87"/>
      <c r="AB404" s="88"/>
      <c r="AK404" s="89"/>
    </row>
    <row r="405" ht="15.75" customHeight="1">
      <c r="D405" s="87"/>
      <c r="AB405" s="88"/>
      <c r="AK405" s="89"/>
    </row>
    <row r="406" ht="15.75" customHeight="1">
      <c r="D406" s="87"/>
      <c r="AB406" s="88"/>
      <c r="AK406" s="89"/>
    </row>
    <row r="407" ht="15.75" customHeight="1">
      <c r="D407" s="87"/>
      <c r="AB407" s="88"/>
      <c r="AK407" s="89"/>
    </row>
    <row r="408" ht="15.75" customHeight="1">
      <c r="D408" s="87"/>
      <c r="AB408" s="88"/>
      <c r="AK408" s="89"/>
    </row>
    <row r="409" ht="15.75" customHeight="1">
      <c r="D409" s="87"/>
      <c r="AB409" s="88"/>
      <c r="AK409" s="89"/>
    </row>
    <row r="410" ht="15.75" customHeight="1">
      <c r="D410" s="87"/>
      <c r="AB410" s="88"/>
      <c r="AK410" s="89"/>
    </row>
    <row r="411" ht="15.75" customHeight="1">
      <c r="D411" s="87"/>
      <c r="AB411" s="88"/>
      <c r="AK411" s="89"/>
    </row>
    <row r="412" ht="15.75" customHeight="1">
      <c r="D412" s="87"/>
      <c r="AB412" s="88"/>
      <c r="AK412" s="89"/>
    </row>
    <row r="413" ht="15.75" customHeight="1">
      <c r="D413" s="87"/>
      <c r="AB413" s="88"/>
      <c r="AK413" s="89"/>
    </row>
    <row r="414" ht="15.75" customHeight="1">
      <c r="D414" s="87"/>
      <c r="AB414" s="88"/>
      <c r="AK414" s="89"/>
    </row>
    <row r="415" ht="15.75" customHeight="1">
      <c r="D415" s="87"/>
      <c r="AB415" s="88"/>
      <c r="AK415" s="89"/>
    </row>
    <row r="416" ht="15.75" customHeight="1">
      <c r="D416" s="87"/>
      <c r="AB416" s="88"/>
      <c r="AK416" s="89"/>
    </row>
    <row r="417" ht="15.75" customHeight="1">
      <c r="D417" s="87"/>
      <c r="AB417" s="88"/>
      <c r="AK417" s="89"/>
    </row>
    <row r="418" ht="15.75" customHeight="1">
      <c r="D418" s="87"/>
      <c r="AB418" s="88"/>
      <c r="AK418" s="89"/>
    </row>
    <row r="419" ht="15.75" customHeight="1">
      <c r="D419" s="87"/>
      <c r="AB419" s="88"/>
      <c r="AK419" s="89"/>
    </row>
    <row r="420" ht="15.75" customHeight="1">
      <c r="D420" s="87"/>
      <c r="AB420" s="88"/>
      <c r="AK420" s="89"/>
    </row>
    <row r="421" ht="15.75" customHeight="1">
      <c r="D421" s="87"/>
      <c r="AB421" s="88"/>
      <c r="AK421" s="89"/>
    </row>
    <row r="422" ht="15.75" customHeight="1">
      <c r="D422" s="87"/>
      <c r="AB422" s="88"/>
      <c r="AK422" s="89"/>
    </row>
    <row r="423" ht="15.75" customHeight="1">
      <c r="D423" s="87"/>
      <c r="AB423" s="88"/>
      <c r="AK423" s="89"/>
    </row>
    <row r="424" ht="15.75" customHeight="1">
      <c r="D424" s="87"/>
      <c r="AB424" s="88"/>
      <c r="AK424" s="89"/>
    </row>
    <row r="425" ht="15.75" customHeight="1">
      <c r="D425" s="87"/>
      <c r="AB425" s="88"/>
      <c r="AK425" s="89"/>
    </row>
    <row r="426" ht="15.75" customHeight="1">
      <c r="D426" s="87"/>
      <c r="AB426" s="88"/>
      <c r="AK426" s="89"/>
    </row>
    <row r="427" ht="15.75" customHeight="1">
      <c r="D427" s="87"/>
      <c r="AB427" s="88"/>
      <c r="AK427" s="89"/>
    </row>
    <row r="428" ht="15.75" customHeight="1">
      <c r="D428" s="87"/>
      <c r="AB428" s="88"/>
      <c r="AK428" s="89"/>
    </row>
    <row r="429" ht="15.75" customHeight="1">
      <c r="D429" s="87"/>
      <c r="AB429" s="88"/>
      <c r="AK429" s="89"/>
    </row>
    <row r="430" ht="15.75" customHeight="1">
      <c r="D430" s="87"/>
      <c r="AB430" s="88"/>
      <c r="AK430" s="89"/>
    </row>
    <row r="431" ht="15.75" customHeight="1">
      <c r="D431" s="87"/>
      <c r="AB431" s="88"/>
      <c r="AK431" s="89"/>
    </row>
    <row r="432" ht="15.75" customHeight="1">
      <c r="D432" s="87"/>
      <c r="AB432" s="88"/>
      <c r="AK432" s="89"/>
    </row>
    <row r="433" ht="15.75" customHeight="1">
      <c r="D433" s="87"/>
      <c r="AB433" s="88"/>
      <c r="AK433" s="89"/>
    </row>
    <row r="434" ht="15.75" customHeight="1">
      <c r="D434" s="87"/>
      <c r="AB434" s="88"/>
      <c r="AK434" s="89"/>
    </row>
    <row r="435" ht="15.75" customHeight="1">
      <c r="D435" s="87"/>
      <c r="AB435" s="88"/>
      <c r="AK435" s="89"/>
    </row>
    <row r="436" ht="15.75" customHeight="1">
      <c r="D436" s="87"/>
      <c r="AB436" s="88"/>
      <c r="AK436" s="89"/>
    </row>
    <row r="437" ht="15.75" customHeight="1">
      <c r="D437" s="87"/>
      <c r="AB437" s="88"/>
      <c r="AK437" s="89"/>
    </row>
    <row r="438" ht="15.75" customHeight="1">
      <c r="D438" s="87"/>
      <c r="AB438" s="88"/>
      <c r="AK438" s="89"/>
    </row>
    <row r="439" ht="15.75" customHeight="1">
      <c r="D439" s="87"/>
      <c r="AB439" s="88"/>
      <c r="AK439" s="89"/>
    </row>
    <row r="440" ht="15.75" customHeight="1">
      <c r="D440" s="87"/>
      <c r="AB440" s="88"/>
      <c r="AK440" s="89"/>
    </row>
    <row r="441" ht="15.75" customHeight="1">
      <c r="D441" s="87"/>
      <c r="AB441" s="88"/>
      <c r="AK441" s="89"/>
    </row>
    <row r="442" ht="15.75" customHeight="1">
      <c r="D442" s="87"/>
      <c r="AB442" s="88"/>
      <c r="AK442" s="89"/>
    </row>
    <row r="443" ht="15.75" customHeight="1">
      <c r="D443" s="87"/>
      <c r="AB443" s="88"/>
      <c r="AK443" s="89"/>
    </row>
    <row r="444" ht="15.75" customHeight="1">
      <c r="D444" s="87"/>
      <c r="AB444" s="88"/>
      <c r="AK444" s="89"/>
    </row>
    <row r="445" ht="15.75" customHeight="1">
      <c r="D445" s="87"/>
      <c r="AB445" s="88"/>
      <c r="AK445" s="89"/>
    </row>
    <row r="446" ht="15.75" customHeight="1">
      <c r="D446" s="87"/>
      <c r="AB446" s="88"/>
      <c r="AK446" s="89"/>
    </row>
    <row r="447" ht="15.75" customHeight="1">
      <c r="D447" s="87"/>
      <c r="AB447" s="88"/>
      <c r="AK447" s="89"/>
    </row>
    <row r="448" ht="15.75" customHeight="1">
      <c r="D448" s="87"/>
      <c r="AB448" s="88"/>
      <c r="AK448" s="89"/>
    </row>
    <row r="449" ht="15.75" customHeight="1">
      <c r="D449" s="87"/>
      <c r="AB449" s="88"/>
      <c r="AK449" s="89"/>
    </row>
    <row r="450" ht="15.75" customHeight="1">
      <c r="D450" s="87"/>
      <c r="AB450" s="88"/>
      <c r="AK450" s="89"/>
    </row>
    <row r="451" ht="15.75" customHeight="1">
      <c r="D451" s="87"/>
      <c r="AB451" s="88"/>
      <c r="AK451" s="89"/>
    </row>
    <row r="452" ht="15.75" customHeight="1">
      <c r="D452" s="87"/>
      <c r="AB452" s="88"/>
      <c r="AK452" s="89"/>
    </row>
    <row r="453" ht="15.75" customHeight="1">
      <c r="D453" s="87"/>
      <c r="AB453" s="88"/>
      <c r="AK453" s="89"/>
    </row>
    <row r="454" ht="15.75" customHeight="1">
      <c r="D454" s="87"/>
      <c r="AB454" s="88"/>
      <c r="AK454" s="89"/>
    </row>
    <row r="455" ht="15.75" customHeight="1">
      <c r="D455" s="87"/>
      <c r="AB455" s="88"/>
      <c r="AK455" s="89"/>
    </row>
    <row r="456" ht="15.75" customHeight="1">
      <c r="D456" s="87"/>
      <c r="AB456" s="88"/>
      <c r="AK456" s="89"/>
    </row>
    <row r="457" ht="15.75" customHeight="1">
      <c r="D457" s="87"/>
      <c r="AB457" s="88"/>
      <c r="AK457" s="89"/>
    </row>
    <row r="458" ht="15.75" customHeight="1">
      <c r="D458" s="87"/>
      <c r="AB458" s="88"/>
      <c r="AK458" s="89"/>
    </row>
    <row r="459" ht="15.75" customHeight="1">
      <c r="D459" s="87"/>
      <c r="AB459" s="88"/>
      <c r="AK459" s="89"/>
    </row>
    <row r="460" ht="15.75" customHeight="1">
      <c r="D460" s="87"/>
      <c r="AB460" s="88"/>
      <c r="AK460" s="89"/>
    </row>
    <row r="461" ht="15.75" customHeight="1">
      <c r="D461" s="87"/>
      <c r="AB461" s="88"/>
      <c r="AK461" s="89"/>
    </row>
    <row r="462" ht="15.75" customHeight="1">
      <c r="D462" s="87"/>
      <c r="AB462" s="88"/>
      <c r="AK462" s="89"/>
    </row>
    <row r="463" ht="15.75" customHeight="1">
      <c r="D463" s="87"/>
      <c r="AB463" s="88"/>
      <c r="AK463" s="89"/>
    </row>
    <row r="464" ht="15.75" customHeight="1">
      <c r="D464" s="87"/>
      <c r="AB464" s="88"/>
      <c r="AK464" s="89"/>
    </row>
    <row r="465" ht="15.75" customHeight="1">
      <c r="D465" s="87"/>
      <c r="AB465" s="88"/>
      <c r="AK465" s="89"/>
    </row>
    <row r="466" ht="15.75" customHeight="1">
      <c r="D466" s="87"/>
      <c r="AB466" s="88"/>
      <c r="AK466" s="89"/>
    </row>
    <row r="467" ht="15.75" customHeight="1">
      <c r="D467" s="87"/>
      <c r="AB467" s="88"/>
      <c r="AK467" s="89"/>
    </row>
    <row r="468" ht="15.75" customHeight="1">
      <c r="D468" s="87"/>
      <c r="AB468" s="88"/>
      <c r="AK468" s="89"/>
    </row>
    <row r="469" ht="15.75" customHeight="1">
      <c r="D469" s="87"/>
      <c r="AB469" s="88"/>
      <c r="AK469" s="89"/>
    </row>
    <row r="470" ht="15.75" customHeight="1">
      <c r="D470" s="87"/>
      <c r="AB470" s="88"/>
      <c r="AK470" s="89"/>
    </row>
    <row r="471" ht="15.75" customHeight="1">
      <c r="D471" s="87"/>
      <c r="AB471" s="88"/>
      <c r="AK471" s="89"/>
    </row>
    <row r="472" ht="15.75" customHeight="1">
      <c r="D472" s="87"/>
      <c r="AB472" s="88"/>
      <c r="AK472" s="89"/>
    </row>
    <row r="473" ht="15.75" customHeight="1">
      <c r="D473" s="87"/>
      <c r="AB473" s="88"/>
      <c r="AK473" s="89"/>
    </row>
    <row r="474" ht="15.75" customHeight="1">
      <c r="D474" s="87"/>
      <c r="AB474" s="88"/>
      <c r="AK474" s="89"/>
    </row>
    <row r="475" ht="15.75" customHeight="1">
      <c r="D475" s="87"/>
      <c r="AB475" s="88"/>
      <c r="AK475" s="89"/>
    </row>
    <row r="476" ht="15.75" customHeight="1">
      <c r="D476" s="87"/>
      <c r="AB476" s="88"/>
      <c r="AK476" s="89"/>
    </row>
    <row r="477" ht="15.75" customHeight="1">
      <c r="D477" s="87"/>
      <c r="AB477" s="88"/>
      <c r="AK477" s="89"/>
    </row>
    <row r="478" ht="15.75" customHeight="1">
      <c r="D478" s="87"/>
      <c r="AB478" s="88"/>
      <c r="AK478" s="89"/>
    </row>
    <row r="479" ht="15.75" customHeight="1">
      <c r="D479" s="87"/>
      <c r="AB479" s="88"/>
      <c r="AK479" s="89"/>
    </row>
    <row r="480" ht="15.75" customHeight="1">
      <c r="D480" s="87"/>
      <c r="AB480" s="88"/>
      <c r="AK480" s="89"/>
    </row>
    <row r="481" ht="15.75" customHeight="1">
      <c r="D481" s="87"/>
      <c r="AB481" s="88"/>
      <c r="AK481" s="89"/>
    </row>
    <row r="482" ht="15.75" customHeight="1">
      <c r="D482" s="87"/>
      <c r="AB482" s="88"/>
      <c r="AK482" s="89"/>
    </row>
    <row r="483" ht="15.75" customHeight="1">
      <c r="D483" s="87"/>
      <c r="AB483" s="88"/>
      <c r="AK483" s="89"/>
    </row>
    <row r="484" ht="15.75" customHeight="1">
      <c r="D484" s="87"/>
      <c r="AB484" s="88"/>
      <c r="AK484" s="89"/>
    </row>
    <row r="485" ht="15.75" customHeight="1">
      <c r="D485" s="87"/>
      <c r="AB485" s="88"/>
      <c r="AK485" s="89"/>
    </row>
    <row r="486" ht="15.75" customHeight="1">
      <c r="D486" s="87"/>
      <c r="AB486" s="88"/>
      <c r="AK486" s="89"/>
    </row>
    <row r="487" ht="15.75" customHeight="1">
      <c r="D487" s="87"/>
      <c r="AB487" s="88"/>
      <c r="AK487" s="89"/>
    </row>
    <row r="488" ht="15.75" customHeight="1">
      <c r="D488" s="87"/>
      <c r="AB488" s="88"/>
      <c r="AK488" s="89"/>
    </row>
    <row r="489" ht="15.75" customHeight="1">
      <c r="D489" s="87"/>
      <c r="AB489" s="88"/>
      <c r="AK489" s="89"/>
    </row>
    <row r="490" ht="15.75" customHeight="1">
      <c r="D490" s="87"/>
      <c r="AB490" s="88"/>
      <c r="AK490" s="89"/>
    </row>
    <row r="491" ht="15.75" customHeight="1">
      <c r="D491" s="87"/>
      <c r="AB491" s="88"/>
      <c r="AK491" s="89"/>
    </row>
    <row r="492" ht="15.75" customHeight="1">
      <c r="D492" s="87"/>
      <c r="AB492" s="88"/>
      <c r="AK492" s="89"/>
    </row>
    <row r="493" ht="15.75" customHeight="1">
      <c r="D493" s="87"/>
      <c r="AB493" s="88"/>
      <c r="AK493" s="89"/>
    </row>
    <row r="494" ht="15.75" customHeight="1">
      <c r="D494" s="87"/>
      <c r="AB494" s="88"/>
      <c r="AK494" s="89"/>
    </row>
    <row r="495" ht="15.75" customHeight="1">
      <c r="D495" s="87"/>
      <c r="AB495" s="88"/>
      <c r="AK495" s="89"/>
    </row>
    <row r="496" ht="15.75" customHeight="1">
      <c r="D496" s="87"/>
      <c r="AB496" s="88"/>
      <c r="AK496" s="89"/>
    </row>
    <row r="497" ht="15.75" customHeight="1">
      <c r="D497" s="87"/>
      <c r="AB497" s="88"/>
      <c r="AK497" s="89"/>
    </row>
    <row r="498" ht="15.75" customHeight="1">
      <c r="D498" s="87"/>
      <c r="AB498" s="88"/>
      <c r="AK498" s="89"/>
    </row>
    <row r="499" ht="15.75" customHeight="1">
      <c r="D499" s="87"/>
      <c r="AB499" s="88"/>
      <c r="AK499" s="89"/>
    </row>
    <row r="500" ht="15.75" customHeight="1">
      <c r="D500" s="87"/>
      <c r="AB500" s="88"/>
      <c r="AK500" s="89"/>
    </row>
    <row r="501" ht="15.75" customHeight="1">
      <c r="D501" s="87"/>
      <c r="AB501" s="88"/>
      <c r="AK501" s="89"/>
    </row>
    <row r="502" ht="15.75" customHeight="1">
      <c r="D502" s="87"/>
      <c r="AB502" s="88"/>
      <c r="AK502" s="89"/>
    </row>
    <row r="503" ht="15.75" customHeight="1">
      <c r="D503" s="87"/>
      <c r="AB503" s="88"/>
      <c r="AK503" s="89"/>
    </row>
    <row r="504" ht="15.75" customHeight="1">
      <c r="D504" s="87"/>
      <c r="AB504" s="88"/>
      <c r="AK504" s="89"/>
    </row>
    <row r="505" ht="15.75" customHeight="1">
      <c r="D505" s="87"/>
      <c r="AB505" s="88"/>
      <c r="AK505" s="89"/>
    </row>
    <row r="506" ht="15.75" customHeight="1">
      <c r="D506" s="87"/>
      <c r="AB506" s="88"/>
      <c r="AK506" s="89"/>
    </row>
    <row r="507" ht="15.75" customHeight="1">
      <c r="D507" s="87"/>
      <c r="AB507" s="88"/>
      <c r="AK507" s="89"/>
    </row>
    <row r="508" ht="15.75" customHeight="1">
      <c r="D508" s="87"/>
      <c r="AB508" s="88"/>
      <c r="AK508" s="89"/>
    </row>
    <row r="509" ht="15.75" customHeight="1">
      <c r="D509" s="87"/>
      <c r="AB509" s="88"/>
      <c r="AK509" s="89"/>
    </row>
    <row r="510" ht="15.75" customHeight="1">
      <c r="D510" s="87"/>
      <c r="AB510" s="88"/>
      <c r="AK510" s="89"/>
    </row>
    <row r="511" ht="15.75" customHeight="1">
      <c r="D511" s="87"/>
      <c r="AB511" s="88"/>
      <c r="AK511" s="89"/>
    </row>
    <row r="512" ht="15.75" customHeight="1">
      <c r="D512" s="87"/>
      <c r="AB512" s="88"/>
      <c r="AK512" s="89"/>
    </row>
    <row r="513" ht="15.75" customHeight="1">
      <c r="D513" s="87"/>
      <c r="AB513" s="88"/>
      <c r="AK513" s="89"/>
    </row>
    <row r="514" ht="15.75" customHeight="1">
      <c r="D514" s="87"/>
      <c r="AB514" s="88"/>
      <c r="AK514" s="89"/>
    </row>
    <row r="515" ht="15.75" customHeight="1">
      <c r="D515" s="87"/>
      <c r="AB515" s="88"/>
      <c r="AK515" s="89"/>
    </row>
    <row r="516" ht="15.75" customHeight="1">
      <c r="D516" s="87"/>
      <c r="AB516" s="88"/>
      <c r="AK516" s="89"/>
    </row>
    <row r="517" ht="15.75" customHeight="1">
      <c r="D517" s="87"/>
      <c r="AB517" s="88"/>
      <c r="AK517" s="89"/>
    </row>
    <row r="518" ht="15.75" customHeight="1">
      <c r="D518" s="87"/>
      <c r="AB518" s="88"/>
      <c r="AK518" s="89"/>
    </row>
    <row r="519" ht="15.75" customHeight="1">
      <c r="D519" s="87"/>
      <c r="AB519" s="88"/>
      <c r="AK519" s="89"/>
    </row>
    <row r="520" ht="15.75" customHeight="1">
      <c r="D520" s="87"/>
      <c r="AB520" s="88"/>
      <c r="AK520" s="89"/>
    </row>
    <row r="521" ht="15.75" customHeight="1">
      <c r="D521" s="87"/>
      <c r="AB521" s="88"/>
      <c r="AK521" s="89"/>
    </row>
    <row r="522" ht="15.75" customHeight="1">
      <c r="D522" s="87"/>
      <c r="AB522" s="88"/>
      <c r="AK522" s="89"/>
    </row>
    <row r="523" ht="15.75" customHeight="1">
      <c r="D523" s="87"/>
      <c r="AB523" s="88"/>
      <c r="AK523" s="89"/>
    </row>
    <row r="524" ht="15.75" customHeight="1">
      <c r="D524" s="87"/>
      <c r="AB524" s="88"/>
      <c r="AK524" s="89"/>
    </row>
    <row r="525" ht="15.75" customHeight="1">
      <c r="D525" s="87"/>
      <c r="AB525" s="88"/>
      <c r="AK525" s="89"/>
    </row>
    <row r="526" ht="15.75" customHeight="1">
      <c r="D526" s="87"/>
      <c r="AB526" s="88"/>
      <c r="AK526" s="89"/>
    </row>
    <row r="527" ht="15.75" customHeight="1">
      <c r="D527" s="87"/>
      <c r="AB527" s="88"/>
      <c r="AK527" s="89"/>
    </row>
    <row r="528" ht="15.75" customHeight="1">
      <c r="D528" s="87"/>
      <c r="AB528" s="88"/>
      <c r="AK528" s="89"/>
    </row>
    <row r="529" ht="15.75" customHeight="1">
      <c r="D529" s="87"/>
      <c r="AB529" s="88"/>
      <c r="AK529" s="89"/>
    </row>
    <row r="530" ht="15.75" customHeight="1">
      <c r="D530" s="87"/>
      <c r="AB530" s="88"/>
      <c r="AK530" s="89"/>
    </row>
    <row r="531" ht="15.75" customHeight="1">
      <c r="D531" s="87"/>
      <c r="AB531" s="88"/>
      <c r="AK531" s="89"/>
    </row>
    <row r="532" ht="15.75" customHeight="1">
      <c r="D532" s="87"/>
      <c r="AB532" s="88"/>
      <c r="AK532" s="89"/>
    </row>
    <row r="533" ht="15.75" customHeight="1">
      <c r="D533" s="87"/>
      <c r="AB533" s="88"/>
      <c r="AK533" s="89"/>
    </row>
    <row r="534" ht="15.75" customHeight="1">
      <c r="D534" s="87"/>
      <c r="AB534" s="88"/>
      <c r="AK534" s="89"/>
    </row>
    <row r="535" ht="15.75" customHeight="1">
      <c r="D535" s="87"/>
      <c r="AB535" s="88"/>
      <c r="AK535" s="89"/>
    </row>
    <row r="536" ht="15.75" customHeight="1">
      <c r="D536" s="87"/>
      <c r="AB536" s="88"/>
      <c r="AK536" s="89"/>
    </row>
    <row r="537" ht="15.75" customHeight="1">
      <c r="D537" s="87"/>
      <c r="AB537" s="88"/>
      <c r="AK537" s="89"/>
    </row>
    <row r="538" ht="15.75" customHeight="1">
      <c r="D538" s="87"/>
      <c r="AB538" s="88"/>
      <c r="AK538" s="89"/>
    </row>
    <row r="539" ht="15.75" customHeight="1">
      <c r="D539" s="87"/>
      <c r="AB539" s="88"/>
      <c r="AK539" s="89"/>
    </row>
    <row r="540" ht="15.75" customHeight="1">
      <c r="D540" s="87"/>
      <c r="AB540" s="88"/>
      <c r="AK540" s="89"/>
    </row>
    <row r="541" ht="15.75" customHeight="1">
      <c r="D541" s="87"/>
      <c r="AB541" s="88"/>
      <c r="AK541" s="89"/>
    </row>
    <row r="542" ht="15.75" customHeight="1">
      <c r="D542" s="87"/>
      <c r="AB542" s="88"/>
      <c r="AK542" s="89"/>
    </row>
    <row r="543" ht="15.75" customHeight="1">
      <c r="D543" s="87"/>
      <c r="AB543" s="88"/>
      <c r="AK543" s="89"/>
    </row>
    <row r="544" ht="15.75" customHeight="1">
      <c r="D544" s="87"/>
      <c r="AB544" s="88"/>
      <c r="AK544" s="89"/>
    </row>
    <row r="545" ht="15.75" customHeight="1">
      <c r="D545" s="87"/>
      <c r="AB545" s="88"/>
      <c r="AK545" s="89"/>
    </row>
    <row r="546" ht="15.75" customHeight="1">
      <c r="D546" s="87"/>
      <c r="AB546" s="88"/>
      <c r="AK546" s="89"/>
    </row>
    <row r="547" ht="15.75" customHeight="1">
      <c r="D547" s="87"/>
      <c r="AB547" s="88"/>
      <c r="AK547" s="89"/>
    </row>
    <row r="548" ht="15.75" customHeight="1">
      <c r="D548" s="87"/>
      <c r="AB548" s="88"/>
      <c r="AK548" s="89"/>
    </row>
    <row r="549" ht="15.75" customHeight="1">
      <c r="D549" s="87"/>
      <c r="AB549" s="88"/>
      <c r="AK549" s="89"/>
    </row>
    <row r="550" ht="15.75" customHeight="1">
      <c r="D550" s="87"/>
      <c r="AB550" s="88"/>
      <c r="AK550" s="89"/>
    </row>
    <row r="551" ht="15.75" customHeight="1">
      <c r="D551" s="87"/>
      <c r="AB551" s="88"/>
      <c r="AK551" s="89"/>
    </row>
    <row r="552" ht="15.75" customHeight="1">
      <c r="D552" s="87"/>
      <c r="AB552" s="88"/>
      <c r="AK552" s="89"/>
    </row>
    <row r="553" ht="15.75" customHeight="1">
      <c r="D553" s="87"/>
      <c r="AB553" s="88"/>
      <c r="AK553" s="89"/>
    </row>
    <row r="554" ht="15.75" customHeight="1">
      <c r="D554" s="87"/>
      <c r="AB554" s="88"/>
      <c r="AK554" s="89"/>
    </row>
    <row r="555" ht="15.75" customHeight="1">
      <c r="D555" s="87"/>
      <c r="AB555" s="88"/>
      <c r="AK555" s="89"/>
    </row>
    <row r="556" ht="15.75" customHeight="1">
      <c r="D556" s="87"/>
      <c r="AB556" s="88"/>
      <c r="AK556" s="89"/>
    </row>
    <row r="557" ht="15.75" customHeight="1">
      <c r="D557" s="87"/>
      <c r="AB557" s="88"/>
      <c r="AK557" s="89"/>
    </row>
    <row r="558" ht="15.75" customHeight="1">
      <c r="D558" s="87"/>
      <c r="AB558" s="88"/>
      <c r="AK558" s="89"/>
    </row>
    <row r="559" ht="15.75" customHeight="1">
      <c r="D559" s="87"/>
      <c r="AB559" s="88"/>
      <c r="AK559" s="89"/>
    </row>
    <row r="560" ht="15.75" customHeight="1">
      <c r="D560" s="87"/>
      <c r="AB560" s="88"/>
      <c r="AK560" s="89"/>
    </row>
    <row r="561" ht="15.75" customHeight="1">
      <c r="D561" s="87"/>
      <c r="AB561" s="88"/>
      <c r="AK561" s="89"/>
    </row>
    <row r="562" ht="15.75" customHeight="1">
      <c r="D562" s="87"/>
      <c r="AB562" s="88"/>
      <c r="AK562" s="89"/>
    </row>
    <row r="563" ht="15.75" customHeight="1">
      <c r="D563" s="87"/>
      <c r="AB563" s="88"/>
      <c r="AK563" s="89"/>
    </row>
    <row r="564" ht="15.75" customHeight="1">
      <c r="D564" s="87"/>
      <c r="AB564" s="88"/>
      <c r="AK564" s="89"/>
    </row>
    <row r="565" ht="15.75" customHeight="1">
      <c r="D565" s="87"/>
      <c r="AB565" s="88"/>
      <c r="AK565" s="89"/>
    </row>
    <row r="566" ht="15.75" customHeight="1">
      <c r="D566" s="87"/>
      <c r="AB566" s="88"/>
      <c r="AK566" s="89"/>
    </row>
    <row r="567" ht="15.75" customHeight="1">
      <c r="D567" s="87"/>
      <c r="AB567" s="88"/>
      <c r="AK567" s="89"/>
    </row>
    <row r="568" ht="15.75" customHeight="1">
      <c r="D568" s="87"/>
      <c r="AB568" s="88"/>
      <c r="AK568" s="89"/>
    </row>
    <row r="569" ht="15.75" customHeight="1">
      <c r="D569" s="87"/>
      <c r="AB569" s="88"/>
      <c r="AK569" s="89"/>
    </row>
    <row r="570" ht="15.75" customHeight="1">
      <c r="D570" s="87"/>
      <c r="AB570" s="88"/>
      <c r="AK570" s="89"/>
    </row>
    <row r="571" ht="15.75" customHeight="1">
      <c r="D571" s="87"/>
      <c r="AB571" s="88"/>
      <c r="AK571" s="89"/>
    </row>
    <row r="572" ht="15.75" customHeight="1">
      <c r="D572" s="87"/>
      <c r="AB572" s="88"/>
      <c r="AK572" s="89"/>
    </row>
    <row r="573" ht="15.75" customHeight="1">
      <c r="D573" s="87"/>
      <c r="AB573" s="88"/>
      <c r="AK573" s="89"/>
    </row>
    <row r="574" ht="15.75" customHeight="1">
      <c r="D574" s="87"/>
      <c r="AB574" s="88"/>
      <c r="AK574" s="89"/>
    </row>
    <row r="575" ht="15.75" customHeight="1">
      <c r="D575" s="87"/>
      <c r="AB575" s="88"/>
      <c r="AK575" s="89"/>
    </row>
    <row r="576" ht="15.75" customHeight="1">
      <c r="D576" s="87"/>
      <c r="AB576" s="88"/>
      <c r="AK576" s="89"/>
    </row>
    <row r="577" ht="15.75" customHeight="1">
      <c r="D577" s="87"/>
      <c r="AB577" s="88"/>
      <c r="AK577" s="89"/>
    </row>
    <row r="578" ht="15.75" customHeight="1">
      <c r="D578" s="87"/>
      <c r="AB578" s="88"/>
      <c r="AK578" s="89"/>
    </row>
    <row r="579" ht="15.75" customHeight="1">
      <c r="D579" s="87"/>
      <c r="AB579" s="88"/>
      <c r="AK579" s="89"/>
    </row>
    <row r="580" ht="15.75" customHeight="1">
      <c r="D580" s="87"/>
      <c r="AB580" s="88"/>
      <c r="AK580" s="89"/>
    </row>
    <row r="581" ht="15.75" customHeight="1">
      <c r="D581" s="87"/>
      <c r="AB581" s="88"/>
      <c r="AK581" s="89"/>
    </row>
    <row r="582" ht="15.75" customHeight="1">
      <c r="D582" s="87"/>
      <c r="AB582" s="88"/>
      <c r="AK582" s="89"/>
    </row>
    <row r="583" ht="15.75" customHeight="1">
      <c r="D583" s="87"/>
      <c r="AB583" s="88"/>
      <c r="AK583" s="89"/>
    </row>
    <row r="584" ht="15.75" customHeight="1">
      <c r="D584" s="87"/>
      <c r="AB584" s="88"/>
      <c r="AK584" s="89"/>
    </row>
    <row r="585" ht="15.75" customHeight="1">
      <c r="D585" s="87"/>
      <c r="AB585" s="88"/>
      <c r="AK585" s="89"/>
    </row>
    <row r="586" ht="15.75" customHeight="1">
      <c r="D586" s="87"/>
      <c r="AB586" s="88"/>
      <c r="AK586" s="89"/>
    </row>
    <row r="587" ht="15.75" customHeight="1">
      <c r="D587" s="87"/>
      <c r="AB587" s="88"/>
      <c r="AK587" s="89"/>
    </row>
    <row r="588" ht="15.75" customHeight="1">
      <c r="D588" s="87"/>
      <c r="AB588" s="88"/>
      <c r="AK588" s="89"/>
    </row>
    <row r="589" ht="15.75" customHeight="1">
      <c r="D589" s="87"/>
      <c r="AB589" s="88"/>
      <c r="AK589" s="89"/>
    </row>
    <row r="590" ht="15.75" customHeight="1">
      <c r="D590" s="87"/>
      <c r="AB590" s="88"/>
      <c r="AK590" s="89"/>
    </row>
    <row r="591" ht="15.75" customHeight="1">
      <c r="D591" s="87"/>
      <c r="AB591" s="88"/>
      <c r="AK591" s="89"/>
    </row>
    <row r="592" ht="15.75" customHeight="1">
      <c r="D592" s="87"/>
      <c r="AB592" s="88"/>
      <c r="AK592" s="89"/>
    </row>
    <row r="593" ht="15.75" customHeight="1">
      <c r="D593" s="87"/>
      <c r="AB593" s="88"/>
      <c r="AK593" s="89"/>
    </row>
    <row r="594" ht="15.75" customHeight="1">
      <c r="D594" s="87"/>
      <c r="AB594" s="88"/>
      <c r="AK594" s="89"/>
    </row>
    <row r="595" ht="15.75" customHeight="1">
      <c r="D595" s="87"/>
      <c r="AB595" s="88"/>
      <c r="AK595" s="89"/>
    </row>
    <row r="596" ht="15.75" customHeight="1">
      <c r="D596" s="87"/>
      <c r="AB596" s="88"/>
      <c r="AK596" s="89"/>
    </row>
    <row r="597" ht="15.75" customHeight="1">
      <c r="D597" s="87"/>
      <c r="AB597" s="88"/>
      <c r="AK597" s="89"/>
    </row>
    <row r="598" ht="15.75" customHeight="1">
      <c r="D598" s="87"/>
      <c r="AB598" s="88"/>
      <c r="AK598" s="89"/>
    </row>
    <row r="599" ht="15.75" customHeight="1">
      <c r="D599" s="87"/>
      <c r="AB599" s="88"/>
      <c r="AK599" s="89"/>
    </row>
    <row r="600" ht="15.75" customHeight="1">
      <c r="D600" s="87"/>
      <c r="AB600" s="88"/>
      <c r="AK600" s="89"/>
    </row>
    <row r="601" ht="15.75" customHeight="1">
      <c r="D601" s="87"/>
      <c r="AB601" s="88"/>
      <c r="AK601" s="89"/>
    </row>
    <row r="602" ht="15.75" customHeight="1">
      <c r="D602" s="87"/>
      <c r="AB602" s="88"/>
      <c r="AK602" s="89"/>
    </row>
    <row r="603" ht="15.75" customHeight="1">
      <c r="D603" s="87"/>
      <c r="AB603" s="88"/>
      <c r="AK603" s="89"/>
    </row>
    <row r="604" ht="15.75" customHeight="1">
      <c r="D604" s="87"/>
      <c r="AB604" s="88"/>
      <c r="AK604" s="89"/>
    </row>
    <row r="605" ht="15.75" customHeight="1">
      <c r="D605" s="87"/>
      <c r="AB605" s="88"/>
      <c r="AK605" s="89"/>
    </row>
    <row r="606" ht="15.75" customHeight="1">
      <c r="D606" s="87"/>
      <c r="AB606" s="88"/>
      <c r="AK606" s="89"/>
    </row>
    <row r="607" ht="15.75" customHeight="1">
      <c r="D607" s="87"/>
      <c r="AB607" s="88"/>
      <c r="AK607" s="89"/>
    </row>
    <row r="608" ht="15.75" customHeight="1">
      <c r="D608" s="87"/>
      <c r="AB608" s="88"/>
      <c r="AK608" s="89"/>
    </row>
    <row r="609" ht="15.75" customHeight="1">
      <c r="D609" s="87"/>
      <c r="AB609" s="88"/>
      <c r="AK609" s="89"/>
    </row>
    <row r="610" ht="15.75" customHeight="1">
      <c r="D610" s="87"/>
      <c r="AB610" s="88"/>
      <c r="AK610" s="89"/>
    </row>
    <row r="611" ht="15.75" customHeight="1">
      <c r="D611" s="87"/>
      <c r="AB611" s="88"/>
      <c r="AK611" s="89"/>
    </row>
    <row r="612" ht="15.75" customHeight="1">
      <c r="D612" s="87"/>
      <c r="AB612" s="88"/>
      <c r="AK612" s="89"/>
    </row>
    <row r="613" ht="15.75" customHeight="1">
      <c r="D613" s="87"/>
      <c r="AB613" s="88"/>
      <c r="AK613" s="89"/>
    </row>
    <row r="614" ht="15.75" customHeight="1">
      <c r="D614" s="87"/>
      <c r="AB614" s="88"/>
      <c r="AK614" s="89"/>
    </row>
    <row r="615" ht="15.75" customHeight="1">
      <c r="D615" s="87"/>
      <c r="AB615" s="88"/>
      <c r="AK615" s="89"/>
    </row>
    <row r="616" ht="15.75" customHeight="1">
      <c r="D616" s="87"/>
      <c r="AB616" s="88"/>
      <c r="AK616" s="89"/>
    </row>
    <row r="617" ht="15.75" customHeight="1">
      <c r="D617" s="87"/>
      <c r="AB617" s="88"/>
      <c r="AK617" s="89"/>
    </row>
    <row r="618" ht="15.75" customHeight="1">
      <c r="D618" s="87"/>
      <c r="AB618" s="88"/>
      <c r="AK618" s="89"/>
    </row>
    <row r="619" ht="15.75" customHeight="1">
      <c r="D619" s="87"/>
      <c r="AB619" s="88"/>
      <c r="AK619" s="89"/>
    </row>
    <row r="620" ht="15.75" customHeight="1">
      <c r="D620" s="87"/>
      <c r="AB620" s="88"/>
      <c r="AK620" s="89"/>
    </row>
    <row r="621" ht="15.75" customHeight="1">
      <c r="D621" s="87"/>
      <c r="AB621" s="88"/>
      <c r="AK621" s="89"/>
    </row>
    <row r="622" ht="15.75" customHeight="1">
      <c r="D622" s="87"/>
      <c r="AB622" s="88"/>
      <c r="AK622" s="89"/>
    </row>
    <row r="623" ht="15.75" customHeight="1">
      <c r="D623" s="87"/>
      <c r="AB623" s="88"/>
      <c r="AK623" s="89"/>
    </row>
    <row r="624" ht="15.75" customHeight="1">
      <c r="D624" s="87"/>
      <c r="AB624" s="88"/>
      <c r="AK624" s="89"/>
    </row>
    <row r="625" ht="15.75" customHeight="1">
      <c r="D625" s="87"/>
      <c r="AB625" s="88"/>
      <c r="AK625" s="89"/>
    </row>
    <row r="626" ht="15.75" customHeight="1">
      <c r="D626" s="87"/>
      <c r="AB626" s="88"/>
      <c r="AK626" s="89"/>
    </row>
    <row r="627" ht="15.75" customHeight="1">
      <c r="D627" s="87"/>
      <c r="AB627" s="88"/>
      <c r="AK627" s="89"/>
    </row>
    <row r="628" ht="15.75" customHeight="1">
      <c r="D628" s="87"/>
      <c r="AB628" s="88"/>
      <c r="AK628" s="89"/>
    </row>
    <row r="629" ht="15.75" customHeight="1">
      <c r="D629" s="87"/>
      <c r="AB629" s="88"/>
      <c r="AK629" s="89"/>
    </row>
    <row r="630" ht="15.75" customHeight="1">
      <c r="D630" s="87"/>
      <c r="AB630" s="88"/>
      <c r="AK630" s="89"/>
    </row>
    <row r="631" ht="15.75" customHeight="1">
      <c r="D631" s="87"/>
      <c r="AB631" s="88"/>
      <c r="AK631" s="89"/>
    </row>
    <row r="632" ht="15.75" customHeight="1">
      <c r="D632" s="87"/>
      <c r="AB632" s="88"/>
      <c r="AK632" s="89"/>
    </row>
    <row r="633" ht="15.75" customHeight="1">
      <c r="D633" s="87"/>
      <c r="AB633" s="88"/>
      <c r="AK633" s="89"/>
    </row>
    <row r="634" ht="15.75" customHeight="1">
      <c r="D634" s="87"/>
      <c r="AB634" s="88"/>
      <c r="AK634" s="89"/>
    </row>
    <row r="635" ht="15.75" customHeight="1">
      <c r="D635" s="87"/>
      <c r="AB635" s="88"/>
      <c r="AK635" s="89"/>
    </row>
    <row r="636" ht="15.75" customHeight="1">
      <c r="D636" s="87"/>
      <c r="AB636" s="88"/>
      <c r="AK636" s="89"/>
    </row>
    <row r="637" ht="15.75" customHeight="1">
      <c r="D637" s="87"/>
      <c r="AB637" s="88"/>
      <c r="AK637" s="89"/>
    </row>
    <row r="638" ht="15.75" customHeight="1">
      <c r="D638" s="87"/>
      <c r="AB638" s="88"/>
      <c r="AK638" s="89"/>
    </row>
    <row r="639" ht="15.75" customHeight="1">
      <c r="D639" s="87"/>
      <c r="AB639" s="88"/>
      <c r="AK639" s="89"/>
    </row>
    <row r="640" ht="15.75" customHeight="1">
      <c r="D640" s="87"/>
      <c r="AB640" s="88"/>
      <c r="AK640" s="89"/>
    </row>
    <row r="641" ht="15.75" customHeight="1">
      <c r="D641" s="87"/>
      <c r="AB641" s="88"/>
      <c r="AK641" s="89"/>
    </row>
    <row r="642" ht="15.75" customHeight="1">
      <c r="D642" s="87"/>
      <c r="AB642" s="88"/>
      <c r="AK642" s="89"/>
    </row>
    <row r="643" ht="15.75" customHeight="1">
      <c r="D643" s="87"/>
      <c r="AB643" s="88"/>
      <c r="AK643" s="89"/>
    </row>
    <row r="644" ht="15.75" customHeight="1">
      <c r="D644" s="87"/>
      <c r="AB644" s="88"/>
      <c r="AK644" s="89"/>
    </row>
    <row r="645" ht="15.75" customHeight="1">
      <c r="D645" s="87"/>
      <c r="AB645" s="88"/>
      <c r="AK645" s="89"/>
    </row>
    <row r="646" ht="15.75" customHeight="1">
      <c r="D646" s="87"/>
      <c r="AB646" s="88"/>
      <c r="AK646" s="89"/>
    </row>
    <row r="647" ht="15.75" customHeight="1">
      <c r="D647" s="87"/>
      <c r="AB647" s="88"/>
      <c r="AK647" s="89"/>
    </row>
    <row r="648" ht="15.75" customHeight="1">
      <c r="D648" s="87"/>
      <c r="AB648" s="88"/>
      <c r="AK648" s="89"/>
    </row>
    <row r="649" ht="15.75" customHeight="1">
      <c r="D649" s="87"/>
      <c r="AB649" s="88"/>
      <c r="AK649" s="89"/>
    </row>
    <row r="650" ht="15.75" customHeight="1">
      <c r="D650" s="87"/>
      <c r="AB650" s="88"/>
      <c r="AK650" s="89"/>
    </row>
    <row r="651" ht="15.75" customHeight="1">
      <c r="D651" s="87"/>
      <c r="AB651" s="88"/>
      <c r="AK651" s="89"/>
    </row>
    <row r="652" ht="15.75" customHeight="1">
      <c r="D652" s="87"/>
      <c r="AB652" s="88"/>
      <c r="AK652" s="89"/>
    </row>
    <row r="653" ht="15.75" customHeight="1">
      <c r="D653" s="87"/>
      <c r="AB653" s="88"/>
      <c r="AK653" s="89"/>
    </row>
    <row r="654" ht="15.75" customHeight="1">
      <c r="D654" s="87"/>
      <c r="AB654" s="88"/>
      <c r="AK654" s="89"/>
    </row>
    <row r="655" ht="15.75" customHeight="1">
      <c r="D655" s="87"/>
      <c r="AB655" s="88"/>
      <c r="AK655" s="89"/>
    </row>
    <row r="656" ht="15.75" customHeight="1">
      <c r="D656" s="87"/>
      <c r="AB656" s="88"/>
      <c r="AK656" s="89"/>
    </row>
    <row r="657" ht="15.75" customHeight="1">
      <c r="D657" s="87"/>
      <c r="AB657" s="88"/>
      <c r="AK657" s="89"/>
    </row>
    <row r="658" ht="15.75" customHeight="1">
      <c r="D658" s="87"/>
      <c r="AB658" s="88"/>
      <c r="AK658" s="89"/>
    </row>
    <row r="659" ht="15.75" customHeight="1">
      <c r="D659" s="87"/>
      <c r="AB659" s="88"/>
      <c r="AK659" s="89"/>
    </row>
    <row r="660" ht="15.75" customHeight="1">
      <c r="D660" s="87"/>
      <c r="AB660" s="88"/>
      <c r="AK660" s="89"/>
    </row>
    <row r="661" ht="15.75" customHeight="1">
      <c r="D661" s="87"/>
      <c r="AB661" s="88"/>
      <c r="AK661" s="89"/>
    </row>
    <row r="662" ht="15.75" customHeight="1">
      <c r="D662" s="87"/>
      <c r="AB662" s="88"/>
      <c r="AK662" s="89"/>
    </row>
    <row r="663" ht="15.75" customHeight="1">
      <c r="D663" s="87"/>
      <c r="AB663" s="88"/>
      <c r="AK663" s="89"/>
    </row>
    <row r="664" ht="15.75" customHeight="1">
      <c r="D664" s="87"/>
      <c r="AB664" s="88"/>
      <c r="AK664" s="89"/>
    </row>
    <row r="665" ht="15.75" customHeight="1">
      <c r="D665" s="87"/>
      <c r="AB665" s="88"/>
      <c r="AK665" s="89"/>
    </row>
    <row r="666" ht="15.75" customHeight="1">
      <c r="D666" s="87"/>
      <c r="AB666" s="88"/>
      <c r="AK666" s="89"/>
    </row>
    <row r="667" ht="15.75" customHeight="1">
      <c r="D667" s="87"/>
      <c r="AB667" s="88"/>
      <c r="AK667" s="89"/>
    </row>
    <row r="668" ht="15.75" customHeight="1">
      <c r="D668" s="87"/>
      <c r="AB668" s="88"/>
      <c r="AK668" s="89"/>
    </row>
    <row r="669" ht="15.75" customHeight="1">
      <c r="D669" s="87"/>
      <c r="AB669" s="88"/>
      <c r="AK669" s="89"/>
    </row>
    <row r="670" ht="15.75" customHeight="1">
      <c r="D670" s="87"/>
      <c r="AB670" s="88"/>
      <c r="AK670" s="89"/>
    </row>
    <row r="671" ht="15.75" customHeight="1">
      <c r="D671" s="87"/>
      <c r="AB671" s="88"/>
      <c r="AK671" s="89"/>
    </row>
    <row r="672" ht="15.75" customHeight="1">
      <c r="D672" s="87"/>
      <c r="AB672" s="88"/>
      <c r="AK672" s="89"/>
    </row>
    <row r="673" ht="15.75" customHeight="1">
      <c r="D673" s="87"/>
      <c r="AB673" s="88"/>
      <c r="AK673" s="89"/>
    </row>
    <row r="674" ht="15.75" customHeight="1">
      <c r="D674" s="87"/>
      <c r="AB674" s="88"/>
      <c r="AK674" s="89"/>
    </row>
    <row r="675" ht="15.75" customHeight="1">
      <c r="D675" s="87"/>
      <c r="AB675" s="88"/>
      <c r="AK675" s="89"/>
    </row>
    <row r="676" ht="15.75" customHeight="1">
      <c r="D676" s="87"/>
      <c r="AB676" s="88"/>
      <c r="AK676" s="89"/>
    </row>
    <row r="677" ht="15.75" customHeight="1">
      <c r="D677" s="87"/>
      <c r="AB677" s="88"/>
      <c r="AK677" s="89"/>
    </row>
    <row r="678" ht="15.75" customHeight="1">
      <c r="D678" s="87"/>
      <c r="AB678" s="88"/>
      <c r="AK678" s="89"/>
    </row>
    <row r="679" ht="15.75" customHeight="1">
      <c r="D679" s="87"/>
      <c r="AB679" s="88"/>
      <c r="AK679" s="89"/>
    </row>
    <row r="680" ht="15.75" customHeight="1">
      <c r="D680" s="87"/>
      <c r="AB680" s="88"/>
      <c r="AK680" s="89"/>
    </row>
    <row r="681" ht="15.75" customHeight="1">
      <c r="D681" s="87"/>
      <c r="AB681" s="88"/>
      <c r="AK681" s="89"/>
    </row>
    <row r="682" ht="15.75" customHeight="1">
      <c r="D682" s="87"/>
      <c r="AB682" s="88"/>
      <c r="AK682" s="89"/>
    </row>
    <row r="683" ht="15.75" customHeight="1">
      <c r="D683" s="87"/>
      <c r="AB683" s="88"/>
      <c r="AK683" s="89"/>
    </row>
    <row r="684" ht="15.75" customHeight="1">
      <c r="D684" s="87"/>
      <c r="AB684" s="88"/>
      <c r="AK684" s="89"/>
    </row>
    <row r="685" ht="15.75" customHeight="1">
      <c r="D685" s="87"/>
      <c r="AB685" s="88"/>
      <c r="AK685" s="89"/>
    </row>
    <row r="686" ht="15.75" customHeight="1">
      <c r="D686" s="87"/>
      <c r="AB686" s="88"/>
      <c r="AK686" s="89"/>
    </row>
    <row r="687" ht="15.75" customHeight="1">
      <c r="D687" s="87"/>
      <c r="AB687" s="88"/>
      <c r="AK687" s="89"/>
    </row>
    <row r="688" ht="15.75" customHeight="1">
      <c r="D688" s="87"/>
      <c r="AB688" s="88"/>
      <c r="AK688" s="89"/>
    </row>
    <row r="689" ht="15.75" customHeight="1">
      <c r="D689" s="87"/>
      <c r="AB689" s="88"/>
      <c r="AK689" s="89"/>
    </row>
    <row r="690" ht="15.75" customHeight="1">
      <c r="D690" s="87"/>
      <c r="AB690" s="88"/>
      <c r="AK690" s="89"/>
    </row>
    <row r="691" ht="15.75" customHeight="1">
      <c r="D691" s="87"/>
      <c r="AB691" s="88"/>
      <c r="AK691" s="89"/>
    </row>
    <row r="692" ht="15.75" customHeight="1">
      <c r="D692" s="87"/>
      <c r="AB692" s="88"/>
      <c r="AK692" s="89"/>
    </row>
    <row r="693" ht="15.75" customHeight="1">
      <c r="D693" s="87"/>
      <c r="AB693" s="88"/>
      <c r="AK693" s="89"/>
    </row>
    <row r="694" ht="15.75" customHeight="1">
      <c r="D694" s="87"/>
      <c r="AB694" s="88"/>
      <c r="AK694" s="89"/>
    </row>
    <row r="695" ht="15.75" customHeight="1">
      <c r="D695" s="87"/>
      <c r="AB695" s="88"/>
      <c r="AK695" s="89"/>
    </row>
    <row r="696" ht="15.75" customHeight="1">
      <c r="D696" s="87"/>
      <c r="AB696" s="88"/>
      <c r="AK696" s="89"/>
    </row>
    <row r="697" ht="15.75" customHeight="1">
      <c r="D697" s="87"/>
      <c r="AB697" s="88"/>
      <c r="AK697" s="89"/>
    </row>
    <row r="698" ht="15.75" customHeight="1">
      <c r="D698" s="87"/>
      <c r="AB698" s="88"/>
      <c r="AK698" s="89"/>
    </row>
    <row r="699" ht="15.75" customHeight="1">
      <c r="D699" s="87"/>
      <c r="AB699" s="88"/>
      <c r="AK699" s="89"/>
    </row>
    <row r="700" ht="15.75" customHeight="1">
      <c r="D700" s="87"/>
      <c r="AB700" s="88"/>
      <c r="AK700" s="89"/>
    </row>
    <row r="701" ht="15.75" customHeight="1">
      <c r="D701" s="87"/>
      <c r="AB701" s="88"/>
      <c r="AK701" s="89"/>
    </row>
    <row r="702" ht="15.75" customHeight="1">
      <c r="D702" s="87"/>
      <c r="AB702" s="88"/>
      <c r="AK702" s="89"/>
    </row>
    <row r="703" ht="15.75" customHeight="1">
      <c r="D703" s="87"/>
      <c r="AB703" s="88"/>
      <c r="AK703" s="89"/>
    </row>
    <row r="704" ht="15.75" customHeight="1">
      <c r="D704" s="87"/>
      <c r="AB704" s="88"/>
      <c r="AK704" s="89"/>
    </row>
    <row r="705" ht="15.75" customHeight="1">
      <c r="D705" s="87"/>
      <c r="AB705" s="88"/>
      <c r="AK705" s="89"/>
    </row>
    <row r="706" ht="15.75" customHeight="1">
      <c r="D706" s="87"/>
      <c r="AB706" s="88"/>
      <c r="AK706" s="89"/>
    </row>
    <row r="707" ht="15.75" customHeight="1">
      <c r="D707" s="87"/>
      <c r="AB707" s="88"/>
      <c r="AK707" s="89"/>
    </row>
    <row r="708" ht="15.75" customHeight="1">
      <c r="D708" s="87"/>
      <c r="AB708" s="88"/>
      <c r="AK708" s="89"/>
    </row>
    <row r="709" ht="15.75" customHeight="1">
      <c r="D709" s="87"/>
      <c r="AB709" s="88"/>
      <c r="AK709" s="89"/>
    </row>
    <row r="710" ht="15.75" customHeight="1">
      <c r="D710" s="87"/>
      <c r="AB710" s="88"/>
      <c r="AK710" s="89"/>
    </row>
    <row r="711" ht="15.75" customHeight="1">
      <c r="D711" s="87"/>
      <c r="AB711" s="88"/>
      <c r="AK711" s="89"/>
    </row>
    <row r="712" ht="15.75" customHeight="1">
      <c r="D712" s="87"/>
      <c r="AB712" s="88"/>
      <c r="AK712" s="89"/>
    </row>
    <row r="713" ht="15.75" customHeight="1">
      <c r="D713" s="87"/>
      <c r="AB713" s="88"/>
      <c r="AK713" s="89"/>
    </row>
    <row r="714" ht="15.75" customHeight="1">
      <c r="D714" s="87"/>
      <c r="AB714" s="88"/>
      <c r="AK714" s="89"/>
    </row>
    <row r="715" ht="15.75" customHeight="1">
      <c r="D715" s="87"/>
      <c r="AB715" s="88"/>
      <c r="AK715" s="89"/>
    </row>
    <row r="716" ht="15.75" customHeight="1">
      <c r="D716" s="87"/>
      <c r="AB716" s="88"/>
      <c r="AK716" s="89"/>
    </row>
    <row r="717" ht="15.75" customHeight="1">
      <c r="D717" s="87"/>
      <c r="AB717" s="88"/>
      <c r="AK717" s="89"/>
    </row>
    <row r="718" ht="15.75" customHeight="1">
      <c r="D718" s="87"/>
      <c r="AB718" s="88"/>
      <c r="AK718" s="89"/>
    </row>
    <row r="719" ht="15.75" customHeight="1">
      <c r="D719" s="87"/>
      <c r="AB719" s="88"/>
      <c r="AK719" s="89"/>
    </row>
    <row r="720" ht="15.75" customHeight="1">
      <c r="D720" s="87"/>
      <c r="AB720" s="88"/>
      <c r="AK720" s="89"/>
    </row>
    <row r="721" ht="15.75" customHeight="1">
      <c r="D721" s="87"/>
      <c r="AB721" s="88"/>
      <c r="AK721" s="89"/>
    </row>
    <row r="722" ht="15.75" customHeight="1">
      <c r="D722" s="87"/>
      <c r="AB722" s="88"/>
      <c r="AK722" s="89"/>
    </row>
    <row r="723" ht="15.75" customHeight="1">
      <c r="D723" s="87"/>
      <c r="AB723" s="88"/>
      <c r="AK723" s="89"/>
    </row>
    <row r="724" ht="15.75" customHeight="1">
      <c r="D724" s="87"/>
      <c r="AB724" s="88"/>
      <c r="AK724" s="89"/>
    </row>
    <row r="725" ht="15.75" customHeight="1">
      <c r="D725" s="87"/>
      <c r="AB725" s="88"/>
      <c r="AK725" s="89"/>
    </row>
    <row r="726" ht="15.75" customHeight="1">
      <c r="D726" s="87"/>
      <c r="AB726" s="88"/>
      <c r="AK726" s="89"/>
    </row>
    <row r="727" ht="15.75" customHeight="1">
      <c r="D727" s="87"/>
      <c r="AB727" s="88"/>
      <c r="AK727" s="89"/>
    </row>
    <row r="728" ht="15.75" customHeight="1">
      <c r="D728" s="87"/>
      <c r="AB728" s="88"/>
      <c r="AK728" s="89"/>
    </row>
    <row r="729" ht="15.75" customHeight="1">
      <c r="D729" s="87"/>
      <c r="AB729" s="88"/>
      <c r="AK729" s="89"/>
    </row>
    <row r="730" ht="15.75" customHeight="1">
      <c r="D730" s="87"/>
      <c r="AB730" s="88"/>
      <c r="AK730" s="89"/>
    </row>
    <row r="731" ht="15.75" customHeight="1">
      <c r="D731" s="87"/>
      <c r="AB731" s="88"/>
      <c r="AK731" s="89"/>
    </row>
    <row r="732" ht="15.75" customHeight="1">
      <c r="D732" s="87"/>
      <c r="AB732" s="88"/>
      <c r="AK732" s="89"/>
    </row>
    <row r="733" ht="15.75" customHeight="1">
      <c r="D733" s="87"/>
      <c r="AB733" s="88"/>
      <c r="AK733" s="89"/>
    </row>
    <row r="734" ht="15.75" customHeight="1">
      <c r="D734" s="87"/>
      <c r="AB734" s="88"/>
      <c r="AK734" s="89"/>
    </row>
    <row r="735" ht="15.75" customHeight="1">
      <c r="D735" s="87"/>
      <c r="AB735" s="88"/>
      <c r="AK735" s="89"/>
    </row>
    <row r="736" ht="15.75" customHeight="1">
      <c r="D736" s="87"/>
      <c r="AB736" s="88"/>
      <c r="AK736" s="89"/>
    </row>
    <row r="737" ht="15.75" customHeight="1">
      <c r="D737" s="87"/>
      <c r="AB737" s="88"/>
      <c r="AK737" s="89"/>
    </row>
    <row r="738" ht="15.75" customHeight="1">
      <c r="D738" s="87"/>
      <c r="AB738" s="88"/>
      <c r="AK738" s="89"/>
    </row>
    <row r="739" ht="15.75" customHeight="1">
      <c r="D739" s="87"/>
      <c r="AB739" s="88"/>
      <c r="AK739" s="89"/>
    </row>
    <row r="740" ht="15.75" customHeight="1">
      <c r="D740" s="87"/>
      <c r="AB740" s="88"/>
      <c r="AK740" s="89"/>
    </row>
    <row r="741" ht="15.75" customHeight="1">
      <c r="D741" s="87"/>
      <c r="AB741" s="88"/>
      <c r="AK741" s="89"/>
    </row>
    <row r="742" ht="15.75" customHeight="1">
      <c r="D742" s="87"/>
      <c r="AB742" s="88"/>
      <c r="AK742" s="89"/>
    </row>
    <row r="743" ht="15.75" customHeight="1">
      <c r="D743" s="87"/>
      <c r="AB743" s="88"/>
      <c r="AK743" s="89"/>
    </row>
    <row r="744" ht="15.75" customHeight="1">
      <c r="D744" s="87"/>
      <c r="AB744" s="88"/>
      <c r="AK744" s="89"/>
    </row>
    <row r="745" ht="15.75" customHeight="1">
      <c r="D745" s="87"/>
      <c r="AB745" s="88"/>
      <c r="AK745" s="89"/>
    </row>
    <row r="746" ht="15.75" customHeight="1">
      <c r="D746" s="87"/>
      <c r="AB746" s="88"/>
      <c r="AK746" s="89"/>
    </row>
    <row r="747" ht="15.75" customHeight="1">
      <c r="D747" s="87"/>
      <c r="AB747" s="88"/>
      <c r="AK747" s="89"/>
    </row>
    <row r="748" ht="15.75" customHeight="1">
      <c r="D748" s="87"/>
      <c r="AB748" s="88"/>
      <c r="AK748" s="89"/>
    </row>
    <row r="749" ht="15.75" customHeight="1">
      <c r="D749" s="87"/>
      <c r="AB749" s="88"/>
      <c r="AK749" s="89"/>
    </row>
    <row r="750" ht="15.75" customHeight="1">
      <c r="D750" s="87"/>
      <c r="AB750" s="88"/>
      <c r="AK750" s="89"/>
    </row>
    <row r="751" ht="15.75" customHeight="1">
      <c r="D751" s="87"/>
      <c r="AB751" s="88"/>
      <c r="AK751" s="89"/>
    </row>
    <row r="752" ht="15.75" customHeight="1">
      <c r="D752" s="87"/>
      <c r="AB752" s="88"/>
      <c r="AK752" s="89"/>
    </row>
    <row r="753" ht="15.75" customHeight="1">
      <c r="D753" s="87"/>
      <c r="AB753" s="88"/>
      <c r="AK753" s="89"/>
    </row>
    <row r="754" ht="15.75" customHeight="1">
      <c r="D754" s="87"/>
      <c r="AB754" s="88"/>
      <c r="AK754" s="89"/>
    </row>
    <row r="755" ht="15.75" customHeight="1">
      <c r="D755" s="87"/>
      <c r="AB755" s="88"/>
      <c r="AK755" s="89"/>
    </row>
    <row r="756" ht="15.75" customHeight="1">
      <c r="D756" s="87"/>
      <c r="AB756" s="88"/>
      <c r="AK756" s="89"/>
    </row>
    <row r="757" ht="15.75" customHeight="1">
      <c r="D757" s="87"/>
      <c r="AB757" s="88"/>
      <c r="AK757" s="89"/>
    </row>
    <row r="758" ht="15.75" customHeight="1">
      <c r="D758" s="87"/>
      <c r="AB758" s="88"/>
      <c r="AK758" s="89"/>
    </row>
    <row r="759" ht="15.75" customHeight="1">
      <c r="D759" s="87"/>
      <c r="AB759" s="88"/>
      <c r="AK759" s="89"/>
    </row>
    <row r="760" ht="15.75" customHeight="1">
      <c r="D760" s="87"/>
      <c r="AB760" s="88"/>
      <c r="AK760" s="89"/>
    </row>
    <row r="761" ht="15.75" customHeight="1">
      <c r="D761" s="87"/>
      <c r="AB761" s="88"/>
      <c r="AK761" s="89"/>
    </row>
    <row r="762" ht="15.75" customHeight="1">
      <c r="D762" s="87"/>
      <c r="AB762" s="88"/>
      <c r="AK762" s="89"/>
    </row>
    <row r="763" ht="15.75" customHeight="1">
      <c r="D763" s="87"/>
      <c r="AB763" s="88"/>
      <c r="AK763" s="89"/>
    </row>
    <row r="764" ht="15.75" customHeight="1">
      <c r="D764" s="87"/>
      <c r="AB764" s="88"/>
      <c r="AK764" s="89"/>
    </row>
    <row r="765" ht="15.75" customHeight="1">
      <c r="D765" s="87"/>
      <c r="AB765" s="88"/>
      <c r="AK765" s="89"/>
    </row>
    <row r="766" ht="15.75" customHeight="1">
      <c r="D766" s="87"/>
      <c r="AB766" s="88"/>
      <c r="AK766" s="89"/>
    </row>
    <row r="767" ht="15.75" customHeight="1">
      <c r="D767" s="87"/>
      <c r="AB767" s="88"/>
      <c r="AK767" s="89"/>
    </row>
    <row r="768" ht="15.75" customHeight="1">
      <c r="D768" s="87"/>
      <c r="AB768" s="88"/>
      <c r="AK768" s="89"/>
    </row>
    <row r="769" ht="15.75" customHeight="1">
      <c r="D769" s="87"/>
      <c r="AB769" s="88"/>
      <c r="AK769" s="89"/>
    </row>
    <row r="770" ht="15.75" customHeight="1">
      <c r="D770" s="87"/>
      <c r="AB770" s="88"/>
      <c r="AK770" s="89"/>
    </row>
    <row r="771" ht="15.75" customHeight="1">
      <c r="D771" s="87"/>
      <c r="AB771" s="88"/>
      <c r="AK771" s="89"/>
    </row>
    <row r="772" ht="15.75" customHeight="1">
      <c r="D772" s="87"/>
      <c r="AB772" s="88"/>
      <c r="AK772" s="89"/>
    </row>
    <row r="773" ht="15.75" customHeight="1">
      <c r="D773" s="87"/>
      <c r="AB773" s="88"/>
      <c r="AK773" s="89"/>
    </row>
    <row r="774" ht="15.75" customHeight="1">
      <c r="D774" s="87"/>
      <c r="AB774" s="88"/>
      <c r="AK774" s="89"/>
    </row>
    <row r="775" ht="15.75" customHeight="1">
      <c r="D775" s="87"/>
      <c r="AB775" s="88"/>
      <c r="AK775" s="89"/>
    </row>
    <row r="776" ht="15.75" customHeight="1">
      <c r="D776" s="87"/>
      <c r="AB776" s="88"/>
      <c r="AK776" s="89"/>
    </row>
    <row r="777" ht="15.75" customHeight="1">
      <c r="D777" s="87"/>
      <c r="AB777" s="88"/>
      <c r="AK777" s="89"/>
    </row>
    <row r="778" ht="15.75" customHeight="1">
      <c r="D778" s="87"/>
      <c r="AB778" s="88"/>
      <c r="AK778" s="89"/>
    </row>
    <row r="779" ht="15.75" customHeight="1">
      <c r="D779" s="87"/>
      <c r="AB779" s="88"/>
      <c r="AK779" s="89"/>
    </row>
    <row r="780" ht="15.75" customHeight="1">
      <c r="D780" s="87"/>
      <c r="AB780" s="88"/>
      <c r="AK780" s="89"/>
    </row>
    <row r="781" ht="15.75" customHeight="1">
      <c r="D781" s="87"/>
      <c r="AB781" s="88"/>
      <c r="AK781" s="89"/>
    </row>
    <row r="782" ht="15.75" customHeight="1">
      <c r="D782" s="87"/>
      <c r="AB782" s="88"/>
      <c r="AK782" s="89"/>
    </row>
    <row r="783" ht="15.75" customHeight="1">
      <c r="D783" s="87"/>
      <c r="AB783" s="88"/>
      <c r="AK783" s="89"/>
    </row>
    <row r="784" ht="15.75" customHeight="1">
      <c r="D784" s="87"/>
      <c r="AB784" s="88"/>
      <c r="AK784" s="89"/>
    </row>
    <row r="785" ht="15.75" customHeight="1">
      <c r="D785" s="87"/>
      <c r="AB785" s="88"/>
      <c r="AK785" s="89"/>
    </row>
    <row r="786" ht="15.75" customHeight="1">
      <c r="D786" s="87"/>
      <c r="AB786" s="88"/>
      <c r="AK786" s="89"/>
    </row>
    <row r="787" ht="15.75" customHeight="1">
      <c r="D787" s="87"/>
      <c r="AB787" s="88"/>
      <c r="AK787" s="89"/>
    </row>
    <row r="788" ht="15.75" customHeight="1">
      <c r="D788" s="87"/>
      <c r="AB788" s="88"/>
      <c r="AK788" s="89"/>
    </row>
    <row r="789" ht="15.75" customHeight="1">
      <c r="D789" s="87"/>
      <c r="AB789" s="88"/>
      <c r="AK789" s="89"/>
    </row>
    <row r="790" ht="15.75" customHeight="1">
      <c r="D790" s="87"/>
      <c r="AB790" s="88"/>
      <c r="AK790" s="89"/>
    </row>
    <row r="791" ht="15.75" customHeight="1">
      <c r="D791" s="87"/>
      <c r="AB791" s="88"/>
      <c r="AK791" s="89"/>
    </row>
    <row r="792" ht="15.75" customHeight="1">
      <c r="D792" s="87"/>
      <c r="AB792" s="88"/>
      <c r="AK792" s="89"/>
    </row>
    <row r="793" ht="15.75" customHeight="1">
      <c r="D793" s="87"/>
      <c r="AB793" s="88"/>
      <c r="AK793" s="89"/>
    </row>
    <row r="794" ht="15.75" customHeight="1">
      <c r="D794" s="87"/>
      <c r="AB794" s="88"/>
      <c r="AK794" s="89"/>
    </row>
    <row r="795" ht="15.75" customHeight="1">
      <c r="D795" s="87"/>
      <c r="AB795" s="88"/>
      <c r="AK795" s="89"/>
    </row>
    <row r="796" ht="15.75" customHeight="1">
      <c r="D796" s="87"/>
      <c r="AB796" s="88"/>
      <c r="AK796" s="89"/>
    </row>
    <row r="797" ht="15.75" customHeight="1">
      <c r="D797" s="87"/>
      <c r="AB797" s="88"/>
      <c r="AK797" s="89"/>
    </row>
    <row r="798" ht="15.75" customHeight="1">
      <c r="D798" s="87"/>
      <c r="AB798" s="88"/>
      <c r="AK798" s="89"/>
    </row>
    <row r="799" ht="15.75" customHeight="1">
      <c r="D799" s="87"/>
      <c r="AB799" s="88"/>
      <c r="AK799" s="89"/>
    </row>
    <row r="800" ht="15.75" customHeight="1">
      <c r="D800" s="87"/>
      <c r="AB800" s="88"/>
      <c r="AK800" s="89"/>
    </row>
    <row r="801" ht="15.75" customHeight="1">
      <c r="D801" s="87"/>
      <c r="AB801" s="88"/>
      <c r="AK801" s="89"/>
    </row>
    <row r="802" ht="15.75" customHeight="1">
      <c r="D802" s="87"/>
      <c r="AB802" s="88"/>
      <c r="AK802" s="89"/>
    </row>
    <row r="803" ht="15.75" customHeight="1">
      <c r="D803" s="87"/>
      <c r="AB803" s="88"/>
      <c r="AK803" s="89"/>
    </row>
    <row r="804" ht="15.75" customHeight="1">
      <c r="D804" s="87"/>
      <c r="AB804" s="88"/>
      <c r="AK804" s="89"/>
    </row>
    <row r="805" ht="15.75" customHeight="1">
      <c r="D805" s="87"/>
      <c r="AB805" s="88"/>
      <c r="AK805" s="89"/>
    </row>
    <row r="806" ht="15.75" customHeight="1">
      <c r="D806" s="87"/>
      <c r="AB806" s="88"/>
      <c r="AK806" s="89"/>
    </row>
    <row r="807" ht="15.75" customHeight="1">
      <c r="D807" s="87"/>
      <c r="AB807" s="88"/>
      <c r="AK807" s="89"/>
    </row>
    <row r="808" ht="15.75" customHeight="1">
      <c r="D808" s="87"/>
      <c r="AB808" s="88"/>
      <c r="AK808" s="89"/>
    </row>
    <row r="809" ht="15.75" customHeight="1">
      <c r="D809" s="87"/>
      <c r="AB809" s="88"/>
      <c r="AK809" s="89"/>
    </row>
    <row r="810" ht="15.75" customHeight="1">
      <c r="D810" s="87"/>
      <c r="AB810" s="88"/>
      <c r="AK810" s="89"/>
    </row>
    <row r="811" ht="15.75" customHeight="1">
      <c r="D811" s="87"/>
      <c r="AB811" s="88"/>
      <c r="AK811" s="89"/>
    </row>
    <row r="812" ht="15.75" customHeight="1">
      <c r="D812" s="87"/>
      <c r="AB812" s="88"/>
      <c r="AK812" s="89"/>
    </row>
    <row r="813" ht="15.75" customHeight="1">
      <c r="D813" s="87"/>
      <c r="AB813" s="88"/>
      <c r="AK813" s="89"/>
    </row>
    <row r="814" ht="15.75" customHeight="1">
      <c r="D814" s="87"/>
      <c r="AB814" s="88"/>
      <c r="AK814" s="89"/>
    </row>
    <row r="815" ht="15.75" customHeight="1">
      <c r="D815" s="87"/>
      <c r="AB815" s="88"/>
      <c r="AK815" s="89"/>
    </row>
    <row r="816" ht="15.75" customHeight="1">
      <c r="D816" s="87"/>
      <c r="AB816" s="88"/>
      <c r="AK816" s="89"/>
    </row>
    <row r="817" ht="15.75" customHeight="1">
      <c r="D817" s="87"/>
      <c r="AB817" s="88"/>
      <c r="AK817" s="89"/>
    </row>
    <row r="818" ht="15.75" customHeight="1">
      <c r="D818" s="87"/>
      <c r="AB818" s="88"/>
      <c r="AK818" s="89"/>
    </row>
    <row r="819" ht="15.75" customHeight="1">
      <c r="D819" s="87"/>
      <c r="AB819" s="88"/>
      <c r="AK819" s="89"/>
    </row>
    <row r="820" ht="15.75" customHeight="1">
      <c r="D820" s="87"/>
      <c r="AB820" s="88"/>
      <c r="AK820" s="89"/>
    </row>
    <row r="821" ht="15.75" customHeight="1">
      <c r="D821" s="87"/>
      <c r="AB821" s="88"/>
      <c r="AK821" s="89"/>
    </row>
    <row r="822" ht="15.75" customHeight="1">
      <c r="D822" s="87"/>
      <c r="AB822" s="88"/>
      <c r="AK822" s="89"/>
    </row>
    <row r="823" ht="15.75" customHeight="1">
      <c r="D823" s="87"/>
      <c r="AB823" s="88"/>
      <c r="AK823" s="89"/>
    </row>
    <row r="824" ht="15.75" customHeight="1">
      <c r="D824" s="87"/>
      <c r="AB824" s="88"/>
      <c r="AK824" s="89"/>
    </row>
    <row r="825" ht="15.75" customHeight="1">
      <c r="D825" s="87"/>
      <c r="AB825" s="88"/>
      <c r="AK825" s="89"/>
    </row>
    <row r="826" ht="15.75" customHeight="1">
      <c r="D826" s="87"/>
      <c r="AB826" s="88"/>
      <c r="AK826" s="89"/>
    </row>
    <row r="827" ht="15.75" customHeight="1">
      <c r="D827" s="87"/>
      <c r="AB827" s="88"/>
      <c r="AK827" s="89"/>
    </row>
    <row r="828" ht="15.75" customHeight="1">
      <c r="D828" s="87"/>
      <c r="AB828" s="88"/>
      <c r="AK828" s="89"/>
    </row>
    <row r="829" ht="15.75" customHeight="1">
      <c r="D829" s="87"/>
      <c r="AB829" s="88"/>
      <c r="AK829" s="89"/>
    </row>
    <row r="830" ht="15.75" customHeight="1">
      <c r="D830" s="87"/>
      <c r="AB830" s="88"/>
      <c r="AK830" s="89"/>
    </row>
    <row r="831" ht="15.75" customHeight="1">
      <c r="D831" s="87"/>
      <c r="AB831" s="88"/>
      <c r="AK831" s="89"/>
    </row>
    <row r="832" ht="15.75" customHeight="1">
      <c r="D832" s="87"/>
      <c r="AB832" s="88"/>
      <c r="AK832" s="89"/>
    </row>
    <row r="833" ht="15.75" customHeight="1">
      <c r="D833" s="87"/>
      <c r="AB833" s="88"/>
      <c r="AK833" s="89"/>
    </row>
    <row r="834" ht="15.75" customHeight="1">
      <c r="D834" s="87"/>
      <c r="AB834" s="88"/>
      <c r="AK834" s="89"/>
    </row>
    <row r="835" ht="15.75" customHeight="1">
      <c r="D835" s="87"/>
      <c r="AB835" s="88"/>
      <c r="AK835" s="89"/>
    </row>
    <row r="836" ht="15.75" customHeight="1">
      <c r="D836" s="87"/>
      <c r="AB836" s="88"/>
      <c r="AK836" s="89"/>
    </row>
    <row r="837" ht="15.75" customHeight="1">
      <c r="D837" s="87"/>
      <c r="AB837" s="88"/>
      <c r="AK837" s="89"/>
    </row>
    <row r="838" ht="15.75" customHeight="1">
      <c r="D838" s="87"/>
      <c r="AB838" s="88"/>
      <c r="AK838" s="89"/>
    </row>
    <row r="839" ht="15.75" customHeight="1">
      <c r="D839" s="87"/>
      <c r="AB839" s="88"/>
      <c r="AK839" s="89"/>
    </row>
    <row r="840" ht="15.75" customHeight="1">
      <c r="D840" s="87"/>
      <c r="AB840" s="88"/>
      <c r="AK840" s="89"/>
    </row>
    <row r="841" ht="15.75" customHeight="1">
      <c r="D841" s="87"/>
      <c r="AB841" s="88"/>
      <c r="AK841" s="89"/>
    </row>
    <row r="842" ht="15.75" customHeight="1">
      <c r="D842" s="87"/>
      <c r="AB842" s="88"/>
      <c r="AK842" s="89"/>
    </row>
    <row r="843" ht="15.75" customHeight="1">
      <c r="D843" s="87"/>
      <c r="AB843" s="88"/>
      <c r="AK843" s="89"/>
    </row>
    <row r="844" ht="15.75" customHeight="1">
      <c r="D844" s="87"/>
      <c r="AB844" s="88"/>
      <c r="AK844" s="89"/>
    </row>
    <row r="845" ht="15.75" customHeight="1">
      <c r="D845" s="87"/>
      <c r="AB845" s="88"/>
      <c r="AK845" s="89"/>
    </row>
    <row r="846" ht="15.75" customHeight="1">
      <c r="D846" s="87"/>
      <c r="AB846" s="88"/>
      <c r="AK846" s="89"/>
    </row>
    <row r="847" ht="15.75" customHeight="1">
      <c r="D847" s="87"/>
      <c r="AB847" s="88"/>
      <c r="AK847" s="89"/>
    </row>
    <row r="848" ht="15.75" customHeight="1">
      <c r="D848" s="87"/>
      <c r="AB848" s="88"/>
      <c r="AK848" s="89"/>
    </row>
    <row r="849" ht="15.75" customHeight="1">
      <c r="D849" s="87"/>
      <c r="AB849" s="88"/>
      <c r="AK849" s="89"/>
    </row>
    <row r="850" ht="15.75" customHeight="1">
      <c r="D850" s="87"/>
      <c r="AB850" s="88"/>
      <c r="AK850" s="89"/>
    </row>
    <row r="851" ht="15.75" customHeight="1">
      <c r="D851" s="87"/>
      <c r="AB851" s="88"/>
      <c r="AK851" s="89"/>
    </row>
    <row r="852" ht="15.75" customHeight="1">
      <c r="D852" s="87"/>
      <c r="AB852" s="88"/>
      <c r="AK852" s="89"/>
    </row>
    <row r="853" ht="15.75" customHeight="1">
      <c r="D853" s="87"/>
      <c r="AB853" s="88"/>
      <c r="AK853" s="89"/>
    </row>
    <row r="854" ht="15.75" customHeight="1">
      <c r="D854" s="87"/>
      <c r="AB854" s="88"/>
      <c r="AK854" s="89"/>
    </row>
    <row r="855" ht="15.75" customHeight="1">
      <c r="D855" s="87"/>
      <c r="AB855" s="88"/>
      <c r="AK855" s="89"/>
    </row>
    <row r="856" ht="15.75" customHeight="1">
      <c r="D856" s="87"/>
      <c r="AB856" s="88"/>
      <c r="AK856" s="89"/>
    </row>
    <row r="857" ht="15.75" customHeight="1">
      <c r="D857" s="87"/>
      <c r="AB857" s="88"/>
      <c r="AK857" s="89"/>
    </row>
    <row r="858" ht="15.75" customHeight="1">
      <c r="D858" s="87"/>
      <c r="AB858" s="88"/>
      <c r="AK858" s="89"/>
    </row>
    <row r="859" ht="15.75" customHeight="1">
      <c r="D859" s="87"/>
      <c r="AB859" s="88"/>
      <c r="AK859" s="89"/>
    </row>
    <row r="860" ht="15.75" customHeight="1">
      <c r="D860" s="87"/>
      <c r="AB860" s="88"/>
      <c r="AK860" s="89"/>
    </row>
    <row r="861" ht="15.75" customHeight="1">
      <c r="D861" s="87"/>
      <c r="AB861" s="88"/>
      <c r="AK861" s="89"/>
    </row>
    <row r="862" ht="15.75" customHeight="1">
      <c r="D862" s="87"/>
      <c r="AB862" s="88"/>
      <c r="AK862" s="89"/>
    </row>
    <row r="863" ht="15.75" customHeight="1">
      <c r="D863" s="87"/>
      <c r="AB863" s="88"/>
      <c r="AK863" s="89"/>
    </row>
    <row r="864" ht="15.75" customHeight="1">
      <c r="D864" s="87"/>
      <c r="AB864" s="88"/>
      <c r="AK864" s="89"/>
    </row>
    <row r="865" ht="15.75" customHeight="1">
      <c r="D865" s="87"/>
      <c r="AB865" s="88"/>
      <c r="AK865" s="89"/>
    </row>
    <row r="866" ht="15.75" customHeight="1">
      <c r="D866" s="87"/>
      <c r="AB866" s="88"/>
      <c r="AK866" s="89"/>
    </row>
    <row r="867" ht="15.75" customHeight="1">
      <c r="D867" s="87"/>
      <c r="AB867" s="88"/>
      <c r="AK867" s="89"/>
    </row>
    <row r="868" ht="15.75" customHeight="1">
      <c r="D868" s="87"/>
      <c r="AB868" s="88"/>
      <c r="AK868" s="89"/>
    </row>
    <row r="869" ht="15.75" customHeight="1">
      <c r="D869" s="87"/>
      <c r="AB869" s="88"/>
      <c r="AK869" s="89"/>
    </row>
    <row r="870" ht="15.75" customHeight="1">
      <c r="D870" s="87"/>
      <c r="AB870" s="88"/>
      <c r="AK870" s="89"/>
    </row>
    <row r="871" ht="15.75" customHeight="1">
      <c r="D871" s="87"/>
      <c r="AB871" s="88"/>
      <c r="AK871" s="89"/>
    </row>
    <row r="872" ht="15.75" customHeight="1">
      <c r="D872" s="87"/>
      <c r="AB872" s="88"/>
      <c r="AK872" s="89"/>
    </row>
    <row r="873" ht="15.75" customHeight="1">
      <c r="D873" s="87"/>
      <c r="AB873" s="88"/>
      <c r="AK873" s="89"/>
    </row>
    <row r="874" ht="15.75" customHeight="1">
      <c r="D874" s="87"/>
      <c r="AB874" s="88"/>
      <c r="AK874" s="89"/>
    </row>
    <row r="875" ht="15.75" customHeight="1">
      <c r="D875" s="87"/>
      <c r="AB875" s="88"/>
      <c r="AK875" s="89"/>
    </row>
    <row r="876" ht="15.75" customHeight="1">
      <c r="D876" s="87"/>
      <c r="AB876" s="88"/>
      <c r="AK876" s="89"/>
    </row>
    <row r="877" ht="15.75" customHeight="1">
      <c r="D877" s="87"/>
      <c r="AB877" s="88"/>
      <c r="AK877" s="89"/>
    </row>
    <row r="878" ht="15.75" customHeight="1">
      <c r="D878" s="87"/>
      <c r="AB878" s="88"/>
      <c r="AK878" s="89"/>
    </row>
    <row r="879" ht="15.75" customHeight="1">
      <c r="D879" s="87"/>
      <c r="AB879" s="88"/>
      <c r="AK879" s="89"/>
    </row>
    <row r="880" ht="15.75" customHeight="1">
      <c r="D880" s="87"/>
      <c r="AB880" s="88"/>
      <c r="AK880" s="89"/>
    </row>
    <row r="881" ht="15.75" customHeight="1">
      <c r="D881" s="87"/>
      <c r="AB881" s="88"/>
      <c r="AK881" s="89"/>
    </row>
    <row r="882" ht="15.75" customHeight="1">
      <c r="D882" s="87"/>
      <c r="AB882" s="88"/>
      <c r="AK882" s="89"/>
    </row>
    <row r="883" ht="15.75" customHeight="1">
      <c r="D883" s="87"/>
      <c r="AB883" s="88"/>
      <c r="AK883" s="89"/>
    </row>
    <row r="884" ht="15.75" customHeight="1">
      <c r="D884" s="87"/>
      <c r="AB884" s="88"/>
      <c r="AK884" s="89"/>
    </row>
    <row r="885" ht="15.75" customHeight="1">
      <c r="D885" s="87"/>
      <c r="AB885" s="88"/>
      <c r="AK885" s="89"/>
    </row>
    <row r="886" ht="15.75" customHeight="1">
      <c r="D886" s="87"/>
      <c r="AB886" s="88"/>
      <c r="AK886" s="89"/>
    </row>
    <row r="887" ht="15.75" customHeight="1">
      <c r="D887" s="87"/>
      <c r="AB887" s="88"/>
      <c r="AK887" s="89"/>
    </row>
    <row r="888" ht="15.75" customHeight="1">
      <c r="D888" s="87"/>
      <c r="AB888" s="88"/>
      <c r="AK888" s="89"/>
    </row>
    <row r="889" ht="15.75" customHeight="1">
      <c r="D889" s="87"/>
      <c r="AB889" s="88"/>
      <c r="AK889" s="89"/>
    </row>
    <row r="890" ht="15.75" customHeight="1">
      <c r="D890" s="87"/>
      <c r="AB890" s="88"/>
      <c r="AK890" s="89"/>
    </row>
    <row r="891" ht="15.75" customHeight="1">
      <c r="D891" s="87"/>
      <c r="AB891" s="88"/>
      <c r="AK891" s="89"/>
    </row>
    <row r="892" ht="15.75" customHeight="1">
      <c r="D892" s="87"/>
      <c r="AB892" s="88"/>
      <c r="AK892" s="89"/>
    </row>
    <row r="893" ht="15.75" customHeight="1">
      <c r="D893" s="87"/>
      <c r="AB893" s="88"/>
      <c r="AK893" s="89"/>
    </row>
    <row r="894" ht="15.75" customHeight="1">
      <c r="D894" s="87"/>
      <c r="AB894" s="88"/>
      <c r="AK894" s="89"/>
    </row>
    <row r="895" ht="15.75" customHeight="1">
      <c r="D895" s="87"/>
      <c r="AB895" s="88"/>
      <c r="AK895" s="89"/>
    </row>
    <row r="896" ht="15.75" customHeight="1">
      <c r="D896" s="87"/>
      <c r="AB896" s="88"/>
      <c r="AK896" s="89"/>
    </row>
    <row r="897" ht="15.75" customHeight="1">
      <c r="D897" s="87"/>
      <c r="AB897" s="88"/>
      <c r="AK897" s="89"/>
    </row>
    <row r="898" ht="15.75" customHeight="1">
      <c r="D898" s="87"/>
      <c r="AB898" s="88"/>
      <c r="AK898" s="89"/>
    </row>
    <row r="899" ht="15.75" customHeight="1">
      <c r="D899" s="87"/>
      <c r="AB899" s="88"/>
      <c r="AK899" s="89"/>
    </row>
    <row r="900" ht="15.75" customHeight="1">
      <c r="D900" s="87"/>
      <c r="AB900" s="88"/>
      <c r="AK900" s="89"/>
    </row>
    <row r="901" ht="15.75" customHeight="1">
      <c r="D901" s="87"/>
      <c r="AB901" s="88"/>
      <c r="AK901" s="89"/>
    </row>
    <row r="902" ht="15.75" customHeight="1">
      <c r="D902" s="87"/>
      <c r="AB902" s="88"/>
      <c r="AK902" s="89"/>
    </row>
    <row r="903" ht="15.75" customHeight="1">
      <c r="D903" s="87"/>
      <c r="AB903" s="88"/>
      <c r="AK903" s="89"/>
    </row>
    <row r="904" ht="15.75" customHeight="1">
      <c r="D904" s="87"/>
      <c r="AB904" s="88"/>
      <c r="AK904" s="89"/>
    </row>
    <row r="905" ht="15.75" customHeight="1">
      <c r="D905" s="87"/>
      <c r="AB905" s="88"/>
      <c r="AK905" s="89"/>
    </row>
    <row r="906" ht="15.75" customHeight="1">
      <c r="D906" s="87"/>
      <c r="AB906" s="88"/>
      <c r="AK906" s="89"/>
    </row>
    <row r="907" ht="15.75" customHeight="1">
      <c r="D907" s="87"/>
      <c r="AB907" s="88"/>
      <c r="AK907" s="89"/>
    </row>
    <row r="908" ht="15.75" customHeight="1">
      <c r="D908" s="87"/>
      <c r="AB908" s="88"/>
      <c r="AK908" s="89"/>
    </row>
    <row r="909" ht="15.75" customHeight="1">
      <c r="D909" s="87"/>
      <c r="AB909" s="88"/>
      <c r="AK909" s="89"/>
    </row>
    <row r="910" ht="15.75" customHeight="1">
      <c r="D910" s="87"/>
      <c r="AB910" s="88"/>
      <c r="AK910" s="89"/>
    </row>
    <row r="911" ht="15.75" customHeight="1">
      <c r="D911" s="87"/>
      <c r="AB911" s="88"/>
      <c r="AK911" s="89"/>
    </row>
    <row r="912" ht="15.75" customHeight="1">
      <c r="D912" s="87"/>
      <c r="AB912" s="88"/>
      <c r="AK912" s="89"/>
    </row>
    <row r="913" ht="15.75" customHeight="1">
      <c r="D913" s="87"/>
      <c r="AB913" s="88"/>
      <c r="AK913" s="89"/>
    </row>
    <row r="914" ht="15.75" customHeight="1">
      <c r="D914" s="87"/>
      <c r="AB914" s="88"/>
      <c r="AK914" s="89"/>
    </row>
    <row r="915" ht="15.75" customHeight="1">
      <c r="D915" s="87"/>
      <c r="AB915" s="88"/>
      <c r="AK915" s="89"/>
    </row>
    <row r="916" ht="15.75" customHeight="1">
      <c r="D916" s="87"/>
      <c r="AB916" s="88"/>
      <c r="AK916" s="89"/>
    </row>
    <row r="917" ht="15.75" customHeight="1">
      <c r="D917" s="87"/>
      <c r="AB917" s="88"/>
      <c r="AK917" s="89"/>
    </row>
    <row r="918" ht="15.75" customHeight="1">
      <c r="D918" s="87"/>
      <c r="AB918" s="88"/>
      <c r="AK918" s="89"/>
    </row>
    <row r="919" ht="15.75" customHeight="1">
      <c r="D919" s="87"/>
      <c r="AB919" s="88"/>
      <c r="AK919" s="89"/>
    </row>
    <row r="920" ht="15.75" customHeight="1">
      <c r="D920" s="87"/>
      <c r="AB920" s="88"/>
      <c r="AK920" s="89"/>
    </row>
    <row r="921" ht="15.75" customHeight="1">
      <c r="D921" s="87"/>
      <c r="AB921" s="88"/>
      <c r="AK921" s="89"/>
    </row>
    <row r="922" ht="15.75" customHeight="1">
      <c r="D922" s="87"/>
      <c r="AB922" s="88"/>
      <c r="AK922" s="89"/>
    </row>
    <row r="923" ht="15.75" customHeight="1">
      <c r="D923" s="87"/>
      <c r="AB923" s="88"/>
      <c r="AK923" s="89"/>
    </row>
    <row r="924" ht="15.75" customHeight="1">
      <c r="D924" s="87"/>
      <c r="AB924" s="88"/>
      <c r="AK924" s="89"/>
    </row>
    <row r="925" ht="15.75" customHeight="1">
      <c r="D925" s="87"/>
      <c r="AB925" s="88"/>
      <c r="AK925" s="89"/>
    </row>
    <row r="926" ht="15.75" customHeight="1">
      <c r="D926" s="87"/>
      <c r="AB926" s="88"/>
      <c r="AK926" s="89"/>
    </row>
    <row r="927" ht="15.75" customHeight="1">
      <c r="D927" s="87"/>
      <c r="AB927" s="88"/>
      <c r="AK927" s="89"/>
    </row>
    <row r="928" ht="15.75" customHeight="1">
      <c r="D928" s="87"/>
      <c r="AB928" s="88"/>
      <c r="AK928" s="89"/>
    </row>
    <row r="929" ht="15.75" customHeight="1">
      <c r="D929" s="87"/>
      <c r="AB929" s="88"/>
      <c r="AK929" s="89"/>
    </row>
    <row r="930" ht="15.75" customHeight="1">
      <c r="D930" s="87"/>
      <c r="AB930" s="88"/>
      <c r="AK930" s="89"/>
    </row>
    <row r="931" ht="15.75" customHeight="1">
      <c r="D931" s="87"/>
      <c r="AB931" s="88"/>
      <c r="AK931" s="89"/>
    </row>
    <row r="932" ht="15.75" customHeight="1">
      <c r="D932" s="87"/>
      <c r="AB932" s="88"/>
      <c r="AK932" s="89"/>
    </row>
    <row r="933" ht="15.75" customHeight="1">
      <c r="D933" s="87"/>
      <c r="AB933" s="88"/>
      <c r="AK933" s="89"/>
    </row>
    <row r="934" ht="15.75" customHeight="1">
      <c r="D934" s="87"/>
      <c r="AB934" s="88"/>
      <c r="AK934" s="89"/>
    </row>
    <row r="935" ht="15.75" customHeight="1">
      <c r="D935" s="87"/>
      <c r="AB935" s="88"/>
      <c r="AK935" s="89"/>
    </row>
    <row r="936" ht="15.75" customHeight="1">
      <c r="D936" s="87"/>
      <c r="AB936" s="88"/>
      <c r="AK936" s="89"/>
    </row>
    <row r="937" ht="15.75" customHeight="1">
      <c r="D937" s="87"/>
      <c r="AB937" s="88"/>
      <c r="AK937" s="89"/>
    </row>
    <row r="938" ht="15.75" customHeight="1">
      <c r="D938" s="87"/>
      <c r="AB938" s="88"/>
      <c r="AK938" s="89"/>
    </row>
    <row r="939" ht="15.75" customHeight="1">
      <c r="D939" s="87"/>
      <c r="AB939" s="88"/>
      <c r="AK939" s="89"/>
    </row>
    <row r="940" ht="15.75" customHeight="1">
      <c r="D940" s="87"/>
      <c r="AB940" s="88"/>
      <c r="AK940" s="89"/>
    </row>
    <row r="941" ht="15.75" customHeight="1">
      <c r="D941" s="87"/>
      <c r="AB941" s="88"/>
      <c r="AK941" s="89"/>
    </row>
    <row r="942" ht="15.75" customHeight="1">
      <c r="D942" s="87"/>
      <c r="AB942" s="88"/>
      <c r="AK942" s="89"/>
    </row>
    <row r="943" ht="15.75" customHeight="1">
      <c r="D943" s="87"/>
      <c r="AB943" s="88"/>
      <c r="AK943" s="89"/>
    </row>
    <row r="944" ht="15.75" customHeight="1">
      <c r="D944" s="87"/>
      <c r="AB944" s="88"/>
      <c r="AK944" s="89"/>
    </row>
    <row r="945" ht="15.75" customHeight="1">
      <c r="D945" s="87"/>
      <c r="AB945" s="88"/>
      <c r="AK945" s="89"/>
    </row>
    <row r="946" ht="15.75" customHeight="1">
      <c r="D946" s="87"/>
      <c r="AB946" s="88"/>
      <c r="AK946" s="89"/>
    </row>
    <row r="947" ht="15.75" customHeight="1">
      <c r="D947" s="87"/>
      <c r="AB947" s="88"/>
      <c r="AK947" s="89"/>
    </row>
    <row r="948" ht="15.75" customHeight="1">
      <c r="D948" s="87"/>
      <c r="AB948" s="88"/>
      <c r="AK948" s="89"/>
    </row>
    <row r="949" ht="15.75" customHeight="1">
      <c r="D949" s="87"/>
      <c r="AB949" s="88"/>
      <c r="AK949" s="89"/>
    </row>
    <row r="950" ht="15.75" customHeight="1">
      <c r="D950" s="87"/>
      <c r="AB950" s="88"/>
      <c r="AK950" s="89"/>
    </row>
    <row r="951" ht="15.75" customHeight="1">
      <c r="D951" s="87"/>
      <c r="AB951" s="88"/>
      <c r="AK951" s="89"/>
    </row>
    <row r="952" ht="15.75" customHeight="1">
      <c r="D952" s="87"/>
      <c r="AB952" s="88"/>
      <c r="AK952" s="89"/>
    </row>
    <row r="953" ht="15.75" customHeight="1">
      <c r="D953" s="87"/>
      <c r="AB953" s="88"/>
      <c r="AK953" s="89"/>
    </row>
    <row r="954" ht="15.75" customHeight="1">
      <c r="D954" s="87"/>
      <c r="AB954" s="88"/>
      <c r="AK954" s="89"/>
    </row>
    <row r="955" ht="15.75" customHeight="1">
      <c r="D955" s="87"/>
      <c r="AB955" s="88"/>
      <c r="AK955" s="89"/>
    </row>
    <row r="956" ht="15.75" customHeight="1">
      <c r="D956" s="87"/>
      <c r="AB956" s="88"/>
      <c r="AK956" s="89"/>
    </row>
    <row r="957" ht="15.75" customHeight="1">
      <c r="D957" s="87"/>
      <c r="AB957" s="88"/>
      <c r="AK957" s="89"/>
    </row>
    <row r="958" ht="15.75" customHeight="1">
      <c r="D958" s="87"/>
      <c r="AB958" s="88"/>
      <c r="AK958" s="89"/>
    </row>
    <row r="959" ht="15.75" customHeight="1">
      <c r="D959" s="87"/>
      <c r="AB959" s="88"/>
      <c r="AK959" s="89"/>
    </row>
    <row r="960" ht="15.75" customHeight="1">
      <c r="D960" s="87"/>
      <c r="AB960" s="88"/>
      <c r="AK960" s="89"/>
    </row>
    <row r="961" ht="15.75" customHeight="1">
      <c r="D961" s="87"/>
      <c r="AB961" s="88"/>
      <c r="AK961" s="89"/>
    </row>
    <row r="962" ht="15.75" customHeight="1">
      <c r="D962" s="87"/>
      <c r="AB962" s="88"/>
      <c r="AK962" s="89"/>
    </row>
    <row r="963" ht="15.75" customHeight="1">
      <c r="D963" s="87"/>
      <c r="AB963" s="88"/>
      <c r="AK963" s="89"/>
    </row>
    <row r="964" ht="15.75" customHeight="1">
      <c r="D964" s="87"/>
      <c r="AB964" s="88"/>
      <c r="AK964" s="89"/>
    </row>
    <row r="965" ht="15.75" customHeight="1">
      <c r="D965" s="87"/>
      <c r="AB965" s="88"/>
      <c r="AK965" s="89"/>
    </row>
    <row r="966" ht="15.75" customHeight="1">
      <c r="D966" s="87"/>
      <c r="AB966" s="88"/>
      <c r="AK966" s="89"/>
    </row>
    <row r="967" ht="15.75" customHeight="1">
      <c r="D967" s="87"/>
      <c r="AB967" s="88"/>
      <c r="AK967" s="89"/>
    </row>
    <row r="968" ht="15.75" customHeight="1">
      <c r="D968" s="87"/>
      <c r="AB968" s="88"/>
      <c r="AK968" s="89"/>
    </row>
    <row r="969" ht="15.75" customHeight="1">
      <c r="D969" s="87"/>
      <c r="AB969" s="88"/>
      <c r="AK969" s="89"/>
    </row>
    <row r="970" ht="15.75" customHeight="1">
      <c r="D970" s="87"/>
      <c r="AB970" s="88"/>
      <c r="AK970" s="89"/>
    </row>
    <row r="971" ht="15.75" customHeight="1">
      <c r="D971" s="87"/>
      <c r="AB971" s="88"/>
      <c r="AK971" s="89"/>
    </row>
    <row r="972" ht="15.75" customHeight="1">
      <c r="D972" s="87"/>
      <c r="AB972" s="88"/>
      <c r="AK972" s="89"/>
    </row>
    <row r="973" ht="15.75" customHeight="1">
      <c r="D973" s="87"/>
      <c r="AB973" s="88"/>
      <c r="AK973" s="89"/>
    </row>
    <row r="974" ht="15.75" customHeight="1">
      <c r="D974" s="87"/>
      <c r="AB974" s="88"/>
      <c r="AK974" s="89"/>
    </row>
    <row r="975" ht="15.75" customHeight="1">
      <c r="D975" s="87"/>
      <c r="AB975" s="88"/>
      <c r="AK975" s="89"/>
    </row>
    <row r="976" ht="15.75" customHeight="1">
      <c r="D976" s="87"/>
      <c r="AB976" s="88"/>
      <c r="AK976" s="89"/>
    </row>
    <row r="977" ht="15.75" customHeight="1">
      <c r="D977" s="87"/>
      <c r="AB977" s="88"/>
      <c r="AK977" s="89"/>
    </row>
    <row r="978" ht="15.75" customHeight="1">
      <c r="D978" s="87"/>
      <c r="AB978" s="88"/>
      <c r="AK978" s="89"/>
    </row>
    <row r="979" ht="15.75" customHeight="1">
      <c r="D979" s="87"/>
      <c r="AB979" s="88"/>
      <c r="AK979" s="89"/>
    </row>
    <row r="980" ht="15.75" customHeight="1">
      <c r="D980" s="87"/>
      <c r="AB980" s="88"/>
      <c r="AK980" s="89"/>
    </row>
    <row r="981" ht="15.75" customHeight="1">
      <c r="D981" s="87"/>
      <c r="AB981" s="88"/>
      <c r="AK981" s="89"/>
    </row>
    <row r="982" ht="15.75" customHeight="1">
      <c r="D982" s="87"/>
      <c r="AB982" s="88"/>
      <c r="AK982" s="89"/>
    </row>
    <row r="983" ht="15.75" customHeight="1">
      <c r="D983" s="87"/>
      <c r="AB983" s="88"/>
      <c r="AK983" s="89"/>
    </row>
    <row r="984" ht="15.75" customHeight="1">
      <c r="D984" s="87"/>
      <c r="AB984" s="88"/>
      <c r="AK984" s="89"/>
    </row>
    <row r="985" ht="15.75" customHeight="1">
      <c r="D985" s="87"/>
      <c r="AB985" s="88"/>
      <c r="AK985" s="89"/>
    </row>
    <row r="986" ht="15.75" customHeight="1">
      <c r="D986" s="87"/>
      <c r="AB986" s="88"/>
      <c r="AK986" s="89"/>
    </row>
    <row r="987" ht="15.75" customHeight="1">
      <c r="D987" s="87"/>
      <c r="AB987" s="88"/>
      <c r="AK987" s="89"/>
    </row>
    <row r="988" ht="15.75" customHeight="1">
      <c r="D988" s="87"/>
      <c r="AB988" s="88"/>
      <c r="AK988" s="89"/>
    </row>
    <row r="989" ht="15.75" customHeight="1">
      <c r="D989" s="87"/>
      <c r="AB989" s="88"/>
      <c r="AK989" s="89"/>
    </row>
    <row r="990" ht="15.75" customHeight="1">
      <c r="D990" s="87"/>
      <c r="AB990" s="88"/>
      <c r="AK990" s="89"/>
    </row>
    <row r="991" ht="15.75" customHeight="1">
      <c r="D991" s="87"/>
      <c r="AB991" s="88"/>
      <c r="AK991" s="89"/>
    </row>
    <row r="992" ht="15.75" customHeight="1">
      <c r="D992" s="87"/>
      <c r="AB992" s="88"/>
      <c r="AK992" s="89"/>
    </row>
    <row r="993" ht="15.75" customHeight="1">
      <c r="D993" s="87"/>
      <c r="AB993" s="88"/>
      <c r="AK993" s="89"/>
    </row>
    <row r="994" ht="15.75" customHeight="1">
      <c r="D994" s="87"/>
      <c r="AB994" s="88"/>
      <c r="AK994" s="89"/>
    </row>
    <row r="995" ht="15.75" customHeight="1">
      <c r="D995" s="87"/>
      <c r="AB995" s="88"/>
      <c r="AK995" s="89"/>
    </row>
    <row r="996" ht="15.75" customHeight="1">
      <c r="D996" s="87"/>
      <c r="AB996" s="88"/>
      <c r="AK996" s="89"/>
    </row>
    <row r="997" ht="15.75" customHeight="1">
      <c r="D997" s="87"/>
      <c r="AB997" s="88"/>
      <c r="AK997" s="89"/>
    </row>
    <row r="998" ht="15.75" customHeight="1">
      <c r="D998" s="87"/>
      <c r="AB998" s="88"/>
      <c r="AK998" s="89"/>
    </row>
    <row r="999" ht="15.75" customHeight="1">
      <c r="D999" s="87"/>
      <c r="AB999" s="88"/>
      <c r="AK999" s="89"/>
    </row>
    <row r="1000" ht="15.75" customHeight="1">
      <c r="D1000" s="87"/>
      <c r="AB1000" s="88"/>
      <c r="AK1000" s="89"/>
    </row>
    <row r="1001" ht="15.75" customHeight="1">
      <c r="D1001" s="87"/>
      <c r="AB1001" s="88"/>
      <c r="AK1001" s="89"/>
    </row>
    <row r="1002" ht="15.75" customHeight="1">
      <c r="D1002" s="87"/>
      <c r="AB1002" s="88"/>
      <c r="AK1002" s="89"/>
    </row>
    <row r="1003" ht="15.75" customHeight="1">
      <c r="D1003" s="87"/>
      <c r="AB1003" s="88"/>
      <c r="AK1003" s="89"/>
    </row>
    <row r="1004" ht="15.75" customHeight="1">
      <c r="D1004" s="87"/>
      <c r="AB1004" s="88"/>
      <c r="AK1004" s="89"/>
    </row>
    <row r="1005" ht="15.75" customHeight="1">
      <c r="D1005" s="87"/>
      <c r="AB1005" s="88"/>
      <c r="AK1005" s="89"/>
    </row>
    <row r="1006" ht="15.75" customHeight="1">
      <c r="D1006" s="87"/>
      <c r="AB1006" s="88"/>
      <c r="AK1006" s="89"/>
    </row>
    <row r="1007" ht="15.75" customHeight="1">
      <c r="D1007" s="87"/>
      <c r="AB1007" s="88"/>
      <c r="AK1007" s="89"/>
    </row>
    <row r="1008" ht="15.75" customHeight="1">
      <c r="D1008" s="87"/>
      <c r="AB1008" s="88"/>
      <c r="AK1008" s="89"/>
    </row>
    <row r="1009" ht="15.75" customHeight="1">
      <c r="D1009" s="87"/>
      <c r="AB1009" s="88"/>
      <c r="AK1009" s="89"/>
    </row>
    <row r="1010" ht="15.75" customHeight="1">
      <c r="D1010" s="87"/>
      <c r="AB1010" s="88"/>
      <c r="AK1010" s="89"/>
    </row>
    <row r="1011" ht="15.75" customHeight="1">
      <c r="D1011" s="87"/>
      <c r="AB1011" s="88"/>
      <c r="AK1011" s="89"/>
    </row>
    <row r="1012" ht="15.75" customHeight="1">
      <c r="D1012" s="87"/>
      <c r="AB1012" s="88"/>
      <c r="AK1012" s="89"/>
    </row>
    <row r="1013" ht="15.75" customHeight="1">
      <c r="D1013" s="87"/>
      <c r="AB1013" s="88"/>
      <c r="AK1013" s="89"/>
    </row>
    <row r="1014" ht="15.75" customHeight="1">
      <c r="D1014" s="87"/>
      <c r="AB1014" s="88"/>
      <c r="AK1014" s="89"/>
    </row>
    <row r="1015" ht="15.75" customHeight="1">
      <c r="D1015" s="87"/>
      <c r="AB1015" s="88"/>
      <c r="AK1015" s="89"/>
    </row>
    <row r="1016" ht="15.75" customHeight="1">
      <c r="D1016" s="87"/>
      <c r="AB1016" s="88"/>
      <c r="AK1016" s="89"/>
    </row>
    <row r="1017" ht="15.75" customHeight="1">
      <c r="D1017" s="87"/>
      <c r="AB1017" s="88"/>
      <c r="AK1017" s="89"/>
    </row>
    <row r="1018" ht="15.75" customHeight="1">
      <c r="D1018" s="87"/>
      <c r="AB1018" s="88"/>
      <c r="AK1018" s="89"/>
    </row>
    <row r="1019" ht="15.75" customHeight="1">
      <c r="D1019" s="87"/>
      <c r="AB1019" s="88"/>
      <c r="AK1019" s="89"/>
    </row>
    <row r="1020" ht="15.75" customHeight="1">
      <c r="D1020" s="87"/>
      <c r="AB1020" s="88"/>
      <c r="AK1020" s="89"/>
    </row>
    <row r="1021" ht="15.75" customHeight="1">
      <c r="D1021" s="87"/>
      <c r="AB1021" s="88"/>
      <c r="AK1021" s="89"/>
    </row>
    <row r="1022" ht="15.75" customHeight="1">
      <c r="D1022" s="87"/>
      <c r="AB1022" s="88"/>
      <c r="AK1022" s="89"/>
    </row>
    <row r="1023" ht="15.75" customHeight="1">
      <c r="D1023" s="87"/>
      <c r="AB1023" s="88"/>
      <c r="AK1023" s="89"/>
    </row>
    <row r="1024" ht="15.75" customHeight="1">
      <c r="D1024" s="87"/>
      <c r="AB1024" s="88"/>
      <c r="AK1024" s="89"/>
    </row>
    <row r="1025" ht="15.75" customHeight="1">
      <c r="D1025" s="87"/>
      <c r="AB1025" s="88"/>
      <c r="AK1025" s="89"/>
    </row>
    <row r="1026" ht="15.75" customHeight="1">
      <c r="D1026" s="87"/>
      <c r="AB1026" s="88"/>
      <c r="AK1026" s="89"/>
    </row>
    <row r="1027" ht="15.75" customHeight="1">
      <c r="D1027" s="87"/>
      <c r="AB1027" s="88"/>
      <c r="AK1027" s="89"/>
    </row>
    <row r="1028" ht="15.75" customHeight="1">
      <c r="D1028" s="87"/>
      <c r="AB1028" s="88"/>
      <c r="AK1028" s="89"/>
    </row>
    <row r="1029" ht="15.75" customHeight="1">
      <c r="D1029" s="87"/>
      <c r="AB1029" s="88"/>
      <c r="AK1029" s="89"/>
    </row>
    <row r="1030" ht="15.75" customHeight="1">
      <c r="D1030" s="87"/>
      <c r="AB1030" s="88"/>
      <c r="AK1030" s="89"/>
    </row>
    <row r="1031" ht="15.75" customHeight="1">
      <c r="D1031" s="87"/>
      <c r="AB1031" s="88"/>
      <c r="AK1031" s="89"/>
    </row>
    <row r="1032" ht="15.75" customHeight="1">
      <c r="D1032" s="87"/>
      <c r="AB1032" s="88"/>
      <c r="AK1032" s="89"/>
    </row>
    <row r="1033" ht="15.75" customHeight="1">
      <c r="D1033" s="87"/>
      <c r="AB1033" s="88"/>
      <c r="AK1033" s="89"/>
    </row>
    <row r="1034" ht="15.75" customHeight="1">
      <c r="D1034" s="87"/>
      <c r="AB1034" s="88"/>
      <c r="AK1034" s="89"/>
    </row>
    <row r="1035" ht="15.75" customHeight="1">
      <c r="D1035" s="87"/>
      <c r="AB1035" s="88"/>
      <c r="AK1035" s="89"/>
    </row>
    <row r="1036" ht="15.75" customHeight="1">
      <c r="D1036" s="87"/>
      <c r="AB1036" s="88"/>
      <c r="AK1036" s="89"/>
    </row>
    <row r="1037" ht="15.75" customHeight="1">
      <c r="D1037" s="87"/>
      <c r="AB1037" s="88"/>
      <c r="AK1037" s="89"/>
    </row>
    <row r="1038" ht="15.75" customHeight="1">
      <c r="D1038" s="87"/>
      <c r="AB1038" s="88"/>
      <c r="AK1038" s="89"/>
    </row>
    <row r="1039" ht="15.75" customHeight="1">
      <c r="D1039" s="87"/>
      <c r="AB1039" s="88"/>
      <c r="AK1039" s="89"/>
    </row>
    <row r="1040" ht="15.75" customHeight="1">
      <c r="D1040" s="87"/>
      <c r="AB1040" s="88"/>
      <c r="AK1040" s="89"/>
    </row>
    <row r="1041" ht="15.75" customHeight="1">
      <c r="D1041" s="87"/>
      <c r="AB1041" s="88"/>
      <c r="AK1041" s="89"/>
    </row>
    <row r="1042" ht="15.75" customHeight="1">
      <c r="D1042" s="87"/>
      <c r="AB1042" s="88"/>
      <c r="AK1042" s="89"/>
    </row>
    <row r="1043" ht="15.75" customHeight="1">
      <c r="D1043" s="87"/>
      <c r="AB1043" s="88"/>
      <c r="AK1043" s="89"/>
    </row>
    <row r="1044" ht="15.75" customHeight="1">
      <c r="D1044" s="87"/>
      <c r="AB1044" s="88"/>
      <c r="AK1044" s="89"/>
    </row>
    <row r="1045" ht="15.75" customHeight="1">
      <c r="D1045" s="87"/>
      <c r="AB1045" s="88"/>
      <c r="AK1045" s="89"/>
    </row>
    <row r="1046" ht="15.75" customHeight="1">
      <c r="D1046" s="87"/>
      <c r="AB1046" s="88"/>
      <c r="AK1046" s="89"/>
    </row>
    <row r="1047" ht="15.75" customHeight="1">
      <c r="D1047" s="87"/>
      <c r="AB1047" s="88"/>
      <c r="AK1047" s="89"/>
    </row>
    <row r="1048" ht="15.75" customHeight="1">
      <c r="D1048" s="87"/>
      <c r="AB1048" s="88"/>
      <c r="AK1048" s="89"/>
    </row>
    <row r="1049" ht="15.75" customHeight="1">
      <c r="D1049" s="87"/>
      <c r="AB1049" s="88"/>
      <c r="AK1049" s="89"/>
    </row>
    <row r="1050" ht="15.75" customHeight="1">
      <c r="D1050" s="87"/>
      <c r="AB1050" s="88"/>
      <c r="AK1050" s="89"/>
    </row>
    <row r="1051" ht="15.75" customHeight="1">
      <c r="D1051" s="87"/>
      <c r="AB1051" s="88"/>
      <c r="AK1051" s="89"/>
    </row>
    <row r="1052" ht="15.75" customHeight="1">
      <c r="D1052" s="87"/>
      <c r="AB1052" s="88"/>
      <c r="AK1052" s="89"/>
    </row>
    <row r="1053" ht="15.75" customHeight="1">
      <c r="D1053" s="87"/>
      <c r="AB1053" s="88"/>
      <c r="AK1053" s="89"/>
    </row>
    <row r="1054" ht="15.75" customHeight="1">
      <c r="D1054" s="87"/>
      <c r="AB1054" s="88"/>
      <c r="AK1054" s="89"/>
    </row>
    <row r="1055" ht="15.75" customHeight="1">
      <c r="D1055" s="87"/>
      <c r="AB1055" s="88"/>
      <c r="AK1055" s="89"/>
    </row>
    <row r="1056" ht="15.75" customHeight="1">
      <c r="D1056" s="87"/>
      <c r="AB1056" s="88"/>
      <c r="AK1056" s="89"/>
    </row>
    <row r="1057" ht="15.75" customHeight="1">
      <c r="D1057" s="87"/>
      <c r="AB1057" s="88"/>
      <c r="AK1057" s="89"/>
    </row>
    <row r="1058" ht="15.75" customHeight="1">
      <c r="D1058" s="87"/>
      <c r="AB1058" s="88"/>
      <c r="AK1058" s="89"/>
    </row>
    <row r="1059" ht="15.75" customHeight="1">
      <c r="D1059" s="87"/>
      <c r="AB1059" s="88"/>
      <c r="AK1059" s="89"/>
    </row>
    <row r="1060" ht="15.75" customHeight="1">
      <c r="D1060" s="87"/>
      <c r="AB1060" s="88"/>
      <c r="AK1060" s="89"/>
    </row>
    <row r="1061" ht="15.75" customHeight="1">
      <c r="D1061" s="87"/>
      <c r="AB1061" s="88"/>
      <c r="AK1061" s="89"/>
    </row>
    <row r="1062" ht="15.75" customHeight="1">
      <c r="D1062" s="87"/>
      <c r="AB1062" s="88"/>
      <c r="AK1062" s="89"/>
    </row>
    <row r="1063" ht="15.75" customHeight="1">
      <c r="D1063" s="87"/>
      <c r="AB1063" s="88"/>
      <c r="AK1063" s="89"/>
    </row>
  </sheetData>
  <autoFilter ref="$A$1:$AS$110">
    <sortState ref="A1:AS110">
      <sortCondition ref="A1:A110"/>
      <sortCondition descending="1" ref="B1:B110"/>
    </sortState>
  </autoFilter>
  <conditionalFormatting sqref="B2:B3 A26:H148">
    <cfRule type="cellIs" dxfId="0" priority="1" operator="equal">
      <formula>"LIQUIDADO"</formula>
    </cfRule>
  </conditionalFormatting>
  <conditionalFormatting sqref="A5:J25">
    <cfRule type="cellIs" dxfId="0" priority="2" operator="equal">
      <formula>"LIQUIDADO"</formula>
    </cfRule>
  </conditionalFormatting>
  <conditionalFormatting sqref="A2:O4 P2:AA25 AB2:AB148 AC2:AE4 AF2:AF3 AS2:AS25 AT2:AT49 AU2:AU25 AT60 AT74:AT109">
    <cfRule type="cellIs" dxfId="0" priority="3" operator="equal">
      <formula>"LIQUIDADO"</formula>
    </cfRule>
  </conditionalFormatting>
  <conditionalFormatting sqref="K5:M148 AD70">
    <cfRule type="cellIs" dxfId="0" priority="4" operator="equal">
      <formula>"LIQUIDADO"</formula>
    </cfRule>
  </conditionalFormatting>
  <conditionalFormatting sqref="P26:S148 AG26:AH148">
    <cfRule type="cellIs" dxfId="0" priority="5" operator="equal">
      <formula>"LIQUIDADO"</formula>
    </cfRule>
  </conditionalFormatting>
  <conditionalFormatting sqref="Y26:Z148">
    <cfRule type="cellIs" dxfId="0" priority="6" operator="equal">
      <formula>"LIQUIDADO"</formula>
    </cfRule>
  </conditionalFormatting>
  <conditionalFormatting sqref="AC26:AD148 M70">
    <cfRule type="cellIs" dxfId="0" priority="7" operator="equal">
      <formula>"LIQUIDADO"</formula>
    </cfRule>
  </conditionalFormatting>
  <conditionalFormatting sqref="AC5:AD25 AE5:AE20 AF9:AF20">
    <cfRule type="cellIs" dxfId="0" priority="8" operator="equal">
      <formula>"LIQUIDADO"</formula>
    </cfRule>
  </conditionalFormatting>
  <conditionalFormatting sqref="AF2:AF20 AG2:AI25 AS2:AS25 AT2:AT49 AU2:AU25 AE3 AE17 AT60 AT74:AT109">
    <cfRule type="cellIs" dxfId="0" priority="9" operator="equal">
      <formula>"LIQUIDADO"</formula>
    </cfRule>
  </conditionalFormatting>
  <conditionalFormatting sqref="AS26:AU66 AS74:AU148">
    <cfRule type="cellIs" dxfId="0" priority="10" operator="equal">
      <formula>"LIQUIDADO"</formula>
    </cfRule>
  </conditionalFormatting>
  <dataValidations>
    <dataValidation type="list" allowBlank="1" showErrorMessage="1" sqref="AN2:AN148">
      <formula1>"COBRO COACTIVO,COBRO PERSUASIVO 1,COBRO PERSUASIVO 2,NO APLICA"</formula1>
    </dataValidation>
    <dataValidation type="list" allowBlank="1" showErrorMessage="1" sqref="AO2:AO148">
      <formula1>"RENDIMIENTOS FINANCIEROS,SALDO NO EJECUTADO,REINTEGRO TOTAL,CONTRIBUCIÓN ESPECIAL,NO APLICA"</formula1>
    </dataValidation>
    <dataValidation type="list" allowBlank="1" showErrorMessage="1" sqref="D1:D1063">
      <formula1>"FINDETER,CONVOCATORIA  3,MATERIALES,RECURSOS,JAC"</formula1>
    </dataValidation>
    <dataValidation type="list" allowBlank="1" showErrorMessage="1" sqref="AJ2:AJ148">
      <formula1>"SUSCRIPCIÓN,ACTA DE INICIO,MODIFICACIÓN,TERMINACIÓN,LIQUIDACIÓN"</formula1>
    </dataValidation>
    <dataValidation type="list" allowBlank="1" showErrorMessage="1" sqref="AM2:AM3 AM25">
      <formula1>"RECURSO DE REPOSICIÓN,ACTO EN FIRME,RESOLUCIÓN EXPEDIDA,RESOLUCIÓN MODIFICATORIA,NO APLICA"</formula1>
    </dataValidation>
    <dataValidation type="list" allowBlank="1" showErrorMessage="1" sqref="T2:T148">
      <formula1>"LIQUIDADO,SUSPENDIDO,RESCILIADO,POR LIQUIDAR,EN EJECUCIÓN,DESISITIO"</formula1>
    </dataValidation>
    <dataValidation type="list" allowBlank="1" showErrorMessage="1" sqref="AM4:AM24 AM26:AM148">
      <formula1>"RECURSO DE REPOSICIÓN,ACTO EN FIRME,NO APLICA"</formula1>
    </dataValidation>
    <dataValidation type="list" allowBlank="1" showErrorMessage="1" sqref="AQ2:AQ148">
      <formula1>"CERRADO,EN PROCESO,PENDIENTE"</formula1>
    </dataValidation>
    <dataValidation type="list" allowBlank="1" showErrorMessage="1" sqref="C2:C148">
      <formula1>"RVT,RVU,RVS,ESPACIO PÚBLICO,CABLES AÉREOS,MUELLES,AEROPUERTOS"</formula1>
    </dataValidation>
    <dataValidation type="list" allowBlank="1" showErrorMessage="1" sqref="AL2:AL148">
      <formula1>"LIQUIDACIÓN UNILATERAL,LIQUIDACIÓN BILATERAL,LIQUIDACIÓN BILATERAL CON PENDIENTES,PENDIENTE"</formula1>
    </dataValidation>
    <dataValidation type="list" allowBlank="1" showErrorMessage="1" sqref="U2:U148">
      <formula1>"LIQUIDADO,SUSPENDIDO,RESCILIADO,POR LIQUIDAR,EN EJECUCIÓN,DESISTIO"</formula1>
    </dataValidation>
  </dataValidations>
  <printOptions/>
  <pageMargins bottom="0.75" footer="0.0" header="0.0" left="0.7" right="0.7" top="0.75"/>
  <pageSetup orientation="portrait"/>
  <drawing r:id="rId1"/>
</worksheet>
</file>